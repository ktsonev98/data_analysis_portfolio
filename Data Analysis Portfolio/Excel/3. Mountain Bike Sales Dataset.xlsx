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eizorar\Desktop\Portfolio\Data Analysis Portfolio\Excel\"/>
    </mc:Choice>
  </mc:AlternateContent>
  <bookViews>
    <workbookView xWindow="0" yWindow="0" windowWidth="28800" windowHeight="12300" activeTab="2"/>
  </bookViews>
  <sheets>
    <sheet name="Day 3 - Bike Sales" sheetId="1" r:id="rId1"/>
    <sheet name="Bike Sales - Expanded" sheetId="3" r:id="rId2"/>
    <sheet name="Day 3 - Bike Sales - Pivot Tabl" sheetId="2" r:id="rId3"/>
  </sheets>
  <calcPr calcId="162913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" i="1" l="1"/>
  <c r="S2" i="1"/>
  <c r="R3" i="1"/>
  <c r="S3" i="1"/>
  <c r="R4" i="1"/>
  <c r="S4" i="1"/>
  <c r="R5" i="1"/>
  <c r="S5" i="1"/>
  <c r="R6" i="1"/>
  <c r="S6" i="1"/>
  <c r="R7" i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R14" i="1"/>
  <c r="S14" i="1"/>
  <c r="R15" i="1"/>
  <c r="S15" i="1"/>
  <c r="R16" i="1"/>
  <c r="S16" i="1"/>
  <c r="R17" i="1"/>
  <c r="S17" i="1"/>
  <c r="R18" i="1"/>
  <c r="S18" i="1"/>
  <c r="R19" i="1"/>
  <c r="S19" i="1"/>
  <c r="R20" i="1"/>
  <c r="S20" i="1"/>
  <c r="R21" i="1"/>
  <c r="S21" i="1"/>
  <c r="R22" i="1"/>
  <c r="S22" i="1"/>
  <c r="R23" i="1"/>
  <c r="S23" i="1"/>
  <c r="R24" i="1"/>
  <c r="S24" i="1"/>
  <c r="R25" i="1"/>
  <c r="S25" i="1"/>
  <c r="R26" i="1"/>
  <c r="S26" i="1"/>
  <c r="R27" i="1"/>
  <c r="S27" i="1"/>
  <c r="R28" i="1"/>
  <c r="S28" i="1"/>
  <c r="R29" i="1"/>
  <c r="S29" i="1"/>
  <c r="R30" i="1"/>
  <c r="S30" i="1"/>
  <c r="R31" i="1"/>
  <c r="S31" i="1"/>
  <c r="R32" i="1"/>
  <c r="S32" i="1"/>
  <c r="R33" i="1"/>
  <c r="S33" i="1"/>
  <c r="R34" i="1"/>
  <c r="S34" i="1"/>
  <c r="R35" i="1"/>
  <c r="S35" i="1"/>
  <c r="R36" i="1"/>
  <c r="S36" i="1"/>
  <c r="R37" i="1"/>
  <c r="S37" i="1"/>
  <c r="R38" i="1"/>
  <c r="S38" i="1"/>
  <c r="R39" i="1"/>
  <c r="S39" i="1"/>
  <c r="R40" i="1"/>
  <c r="S40" i="1"/>
  <c r="R41" i="1"/>
  <c r="S41" i="1"/>
  <c r="R42" i="1"/>
  <c r="S42" i="1"/>
  <c r="R43" i="1"/>
  <c r="S43" i="1"/>
  <c r="R44" i="1"/>
  <c r="S44" i="1"/>
  <c r="R45" i="1"/>
  <c r="S45" i="1"/>
  <c r="R46" i="1"/>
  <c r="S46" i="1"/>
  <c r="R47" i="1"/>
  <c r="S47" i="1"/>
  <c r="R48" i="1"/>
  <c r="S48" i="1"/>
  <c r="R49" i="1"/>
  <c r="S49" i="1"/>
  <c r="R50" i="1"/>
  <c r="S50" i="1"/>
  <c r="R51" i="1"/>
  <c r="S51" i="1"/>
  <c r="R52" i="1"/>
  <c r="S52" i="1"/>
  <c r="R53" i="1"/>
  <c r="S53" i="1"/>
  <c r="R54" i="1"/>
  <c r="S54" i="1"/>
  <c r="R55" i="1"/>
  <c r="S55" i="1"/>
  <c r="R56" i="1"/>
  <c r="S56" i="1"/>
  <c r="R57" i="1"/>
  <c r="S57" i="1"/>
  <c r="R58" i="1"/>
  <c r="S58" i="1"/>
  <c r="R59" i="1"/>
  <c r="S59" i="1"/>
  <c r="R60" i="1"/>
  <c r="S60" i="1"/>
  <c r="R61" i="1"/>
  <c r="S61" i="1"/>
  <c r="R62" i="1"/>
  <c r="S62" i="1"/>
  <c r="R63" i="1"/>
  <c r="S63" i="1"/>
  <c r="R64" i="1"/>
  <c r="S64" i="1"/>
  <c r="R65" i="1"/>
  <c r="S65" i="1"/>
  <c r="R66" i="1"/>
  <c r="S66" i="1"/>
  <c r="R67" i="1"/>
  <c r="S67" i="1"/>
  <c r="R68" i="1"/>
  <c r="S68" i="1"/>
  <c r="R69" i="1"/>
  <c r="S69" i="1"/>
  <c r="R70" i="1"/>
  <c r="S70" i="1"/>
  <c r="R71" i="1"/>
  <c r="S71" i="1"/>
  <c r="R72" i="1"/>
  <c r="S72" i="1"/>
  <c r="R73" i="1"/>
  <c r="S73" i="1"/>
  <c r="R74" i="1"/>
  <c r="S74" i="1"/>
  <c r="R75" i="1"/>
  <c r="S75" i="1"/>
  <c r="R76" i="1"/>
  <c r="S76" i="1"/>
  <c r="R77" i="1"/>
  <c r="S77" i="1"/>
  <c r="R78" i="1"/>
  <c r="S78" i="1"/>
  <c r="R79" i="1"/>
  <c r="S79" i="1"/>
  <c r="R80" i="1"/>
  <c r="S80" i="1"/>
  <c r="R81" i="1"/>
  <c r="S81" i="1"/>
  <c r="R82" i="1"/>
  <c r="S82" i="1"/>
  <c r="R83" i="1"/>
  <c r="S83" i="1"/>
  <c r="R84" i="1"/>
  <c r="S84" i="1"/>
  <c r="R85" i="1"/>
  <c r="S85" i="1"/>
  <c r="R86" i="1"/>
  <c r="S86" i="1"/>
  <c r="R87" i="1"/>
  <c r="S87" i="1"/>
  <c r="R88" i="1"/>
  <c r="S88" i="1"/>
  <c r="R89" i="1"/>
  <c r="S89" i="1"/>
</calcChain>
</file>

<file path=xl/sharedStrings.xml><?xml version="1.0" encoding="utf-8"?>
<sst xmlns="http://schemas.openxmlformats.org/spreadsheetml/2006/main" count="1631" uniqueCount="158">
  <si>
    <t>Mountain-200 Black, 42</t>
  </si>
  <si>
    <t>Mountain Bikes</t>
  </si>
  <si>
    <t>Bikes</t>
  </si>
  <si>
    <t>Queensland</t>
  </si>
  <si>
    <t>Australia</t>
  </si>
  <si>
    <t>M</t>
  </si>
  <si>
    <t>Adults (35-64)</t>
  </si>
  <si>
    <t>December</t>
  </si>
  <si>
    <t>000261782</t>
  </si>
  <si>
    <t>Mountain-500 Black, 42</t>
  </si>
  <si>
    <t>California</t>
  </si>
  <si>
    <t>United States</t>
  </si>
  <si>
    <t>F</t>
  </si>
  <si>
    <t>000261781</t>
  </si>
  <si>
    <t>British Columbia</t>
  </si>
  <si>
    <t>Canada</t>
  </si>
  <si>
    <t>Young Adults (25-34)</t>
  </si>
  <si>
    <t>000261780</t>
  </si>
  <si>
    <t>Mountain-200 Silver, 42</t>
  </si>
  <si>
    <t>Oregon</t>
  </si>
  <si>
    <t>000261779</t>
  </si>
  <si>
    <t>Mountain-200 Silver, 38</t>
  </si>
  <si>
    <t>Hessen</t>
  </si>
  <si>
    <t>Germany</t>
  </si>
  <si>
    <t>000261778</t>
  </si>
  <si>
    <t>Mountain-200 Black, 46</t>
  </si>
  <si>
    <t>000261777</t>
  </si>
  <si>
    <t>Mountain-200 Black, 38</t>
  </si>
  <si>
    <t>Seine (Paris)</t>
  </si>
  <si>
    <t>France</t>
  </si>
  <si>
    <t>000261776</t>
  </si>
  <si>
    <t>Mountain-500 Silver, 42</t>
  </si>
  <si>
    <t>New South Wales</t>
  </si>
  <si>
    <t>Youth (&lt;25)</t>
  </si>
  <si>
    <t>000261775</t>
  </si>
  <si>
    <t>000261774</t>
  </si>
  <si>
    <t>Washington</t>
  </si>
  <si>
    <t>000261773</t>
  </si>
  <si>
    <t>Mountain-400-W Silver, 46</t>
  </si>
  <si>
    <t>England</t>
  </si>
  <si>
    <t>United Kingdom</t>
  </si>
  <si>
    <t>000261772</t>
  </si>
  <si>
    <t>Somme</t>
  </si>
  <si>
    <t>000261771</t>
  </si>
  <si>
    <t>Victoria</t>
  </si>
  <si>
    <t>000261770</t>
  </si>
  <si>
    <t>000261769</t>
  </si>
  <si>
    <t>Mountain-500 Black, 52</t>
  </si>
  <si>
    <t>000261768</t>
  </si>
  <si>
    <t>000261767</t>
  </si>
  <si>
    <t>Mountain-100 Black, 38</t>
  </si>
  <si>
    <t>000261766</t>
  </si>
  <si>
    <t>000261765</t>
  </si>
  <si>
    <t>000261764</t>
  </si>
  <si>
    <t>Mountain-500 Black, 40</t>
  </si>
  <si>
    <t>South Australia</t>
  </si>
  <si>
    <t>000261763</t>
  </si>
  <si>
    <t>000261762</t>
  </si>
  <si>
    <t>000261761</t>
  </si>
  <si>
    <t>000261760</t>
  </si>
  <si>
    <t>Mountain-100 Black, 48</t>
  </si>
  <si>
    <t>000261759</t>
  </si>
  <si>
    <t>000261758</t>
  </si>
  <si>
    <t>Mountain-500 Black, 44</t>
  </si>
  <si>
    <t>000261757</t>
  </si>
  <si>
    <t>Mountain-200 Silver, 46</t>
  </si>
  <si>
    <t>Nord</t>
  </si>
  <si>
    <t>000261756</t>
  </si>
  <si>
    <t>000261755</t>
  </si>
  <si>
    <t>000261754</t>
  </si>
  <si>
    <t>000261753</t>
  </si>
  <si>
    <t>Mountain-400-W Silver, 42</t>
  </si>
  <si>
    <t>000261752</t>
  </si>
  <si>
    <t>Seine Saint Denis</t>
  </si>
  <si>
    <t>000261751</t>
  </si>
  <si>
    <t>Nordrhein-Westfalen</t>
  </si>
  <si>
    <t>000261750</t>
  </si>
  <si>
    <t>000261749</t>
  </si>
  <si>
    <t>000261748</t>
  </si>
  <si>
    <t>000261747</t>
  </si>
  <si>
    <t>000261746</t>
  </si>
  <si>
    <t>Seine et Marne</t>
  </si>
  <si>
    <t>000261745</t>
  </si>
  <si>
    <t>000261744</t>
  </si>
  <si>
    <t>000261743</t>
  </si>
  <si>
    <t>000261742</t>
  </si>
  <si>
    <t>000261741</t>
  </si>
  <si>
    <t>000261740</t>
  </si>
  <si>
    <t>000261739</t>
  </si>
  <si>
    <t>000261738</t>
  </si>
  <si>
    <t>000261737</t>
  </si>
  <si>
    <t>Mountain-500 Silver, 40</t>
  </si>
  <si>
    <t>000261736</t>
  </si>
  <si>
    <t>000261735</t>
  </si>
  <si>
    <t>000261734</t>
  </si>
  <si>
    <t>000261733</t>
  </si>
  <si>
    <t>000261732</t>
  </si>
  <si>
    <t>000261731</t>
  </si>
  <si>
    <t>000261730</t>
  </si>
  <si>
    <t>000261729</t>
  </si>
  <si>
    <t>000261728</t>
  </si>
  <si>
    <t>000261727</t>
  </si>
  <si>
    <t>Mountain-400-W Silver, 38</t>
  </si>
  <si>
    <t>000261726</t>
  </si>
  <si>
    <t>000261725</t>
  </si>
  <si>
    <t>000261724</t>
  </si>
  <si>
    <t>Mountain-100 Silver, 44</t>
  </si>
  <si>
    <t>000261723</t>
  </si>
  <si>
    <t>000261722</t>
  </si>
  <si>
    <t>000261721</t>
  </si>
  <si>
    <t>000261720</t>
  </si>
  <si>
    <t>000261719</t>
  </si>
  <si>
    <t>Hamburg</t>
  </si>
  <si>
    <t>000261718</t>
  </si>
  <si>
    <t>000261717</t>
  </si>
  <si>
    <t>000261716</t>
  </si>
  <si>
    <t>000261715</t>
  </si>
  <si>
    <t>000261714</t>
  </si>
  <si>
    <t>000261713</t>
  </si>
  <si>
    <t>000261712</t>
  </si>
  <si>
    <t>000261711</t>
  </si>
  <si>
    <t>000261710</t>
  </si>
  <si>
    <t>000261709</t>
  </si>
  <si>
    <t>000261708</t>
  </si>
  <si>
    <t>000261707</t>
  </si>
  <si>
    <t>000261706</t>
  </si>
  <si>
    <t>000261705</t>
  </si>
  <si>
    <t>000261704</t>
  </si>
  <si>
    <t>000261703</t>
  </si>
  <si>
    <t>000261702</t>
  </si>
  <si>
    <t>000261701</t>
  </si>
  <si>
    <t>000261700</t>
  </si>
  <si>
    <t>000261699</t>
  </si>
  <si>
    <t>000261698</t>
  </si>
  <si>
    <t>000261697</t>
  </si>
  <si>
    <t>000261695</t>
  </si>
  <si>
    <t>000261696</t>
  </si>
  <si>
    <t>Revenue</t>
  </si>
  <si>
    <t xml:space="preserve"> Cost </t>
  </si>
  <si>
    <t xml:space="preserve"> Profit </t>
  </si>
  <si>
    <t xml:space="preserve"> Unit_Price </t>
  </si>
  <si>
    <t xml:space="preserve"> Unit_Cost </t>
  </si>
  <si>
    <t>Order_Quantity</t>
  </si>
  <si>
    <t>Product_Description</t>
  </si>
  <si>
    <t>Sub_Category</t>
  </si>
  <si>
    <t>Product_Category</t>
  </si>
  <si>
    <t>State</t>
  </si>
  <si>
    <t>Country</t>
  </si>
  <si>
    <t>Customer_Gender</t>
  </si>
  <si>
    <t>Age_Group</t>
  </si>
  <si>
    <t>Customer_Age</t>
  </si>
  <si>
    <t>Year</t>
  </si>
  <si>
    <t>Month</t>
  </si>
  <si>
    <t>Day</t>
  </si>
  <si>
    <t>Date</t>
  </si>
  <si>
    <t>Sales_Order #</t>
  </si>
  <si>
    <t>Grand Total</t>
  </si>
  <si>
    <t xml:space="preserve">Sum of  Profit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</si>
</sst>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8" fontId="0" fillId="0" borderId="0" xfId="0" applyNumberFormat="1"/>
    <xf numFmtId="0" fontId="2" fillId="0" borderId="0" xfId="0" applyFont="1"/>
    <xf numFmtId="14" fontId="0" fillId="0" borderId="0" xfId="0" applyNumberFormat="1"/>
    <xf numFmtId="49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pivotButton="1"/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23">
    <dxf>
      <alignment horizontal="center"/>
    </dxf>
    <dxf>
      <alignment horizontal="center"/>
    </dxf>
    <dxf>
      <alignment horizontal="center"/>
    </dxf>
    <dxf>
      <alignment horizontal="left"/>
    </dxf>
    <dxf>
      <numFmt numFmtId="164" formatCode="_-[$£-809]* #,##0.00_-;\-[$£-809]* #,##0.00_-;_-[$£-809]* &quot;-&quot;??_-;_-@_-"/>
    </dxf>
    <dxf>
      <numFmt numFmtId="2" formatCode="0.00"/>
    </dxf>
    <dxf>
      <numFmt numFmtId="2" formatCode="0.00"/>
    </dxf>
    <dxf>
      <numFmt numFmtId="14" formatCode="0.00%"/>
    </dxf>
    <dxf>
      <numFmt numFmtId="19" formatCode="m/d/yyyy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alignment horizontal="center"/>
    </dxf>
    <dxf>
      <alignment horizontal="left" vertical="bottom" textRotation="0" wrapText="0" indent="0" justifyLastLine="0" shrinkToFit="0" readingOrder="0"/>
    </dxf>
    <dxf>
      <alignment horizontal="center"/>
    </dxf>
    <dxf>
      <alignment horizontal="center"/>
    </dxf>
    <dxf>
      <numFmt numFmtId="19" formatCode="m/d/yyyy"/>
    </dxf>
    <dxf>
      <numFmt numFmtId="30" formatCode="@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[Mountain Bike Sales Dataset.xlsx]Day 3 - Bike Sales - Pivot Tabl!Bike Sales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Bike Sales Summary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5D65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D86DC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1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rgbClr val="637CEF"/>
          </a:solidFill>
          <a:ln>
            <a:noFill/>
          </a:ln>
          <a:effectLst/>
        </c:spPr>
      </c:pivotFmt>
      <c:pivotFmt>
        <c:idx val="49"/>
        <c:spPr>
          <a:solidFill>
            <a:srgbClr val="637CEF"/>
          </a:solidFill>
          <a:ln>
            <a:noFill/>
          </a:ln>
          <a:effectLst/>
        </c:spPr>
      </c:pivotFmt>
      <c:pivotFmt>
        <c:idx val="50"/>
        <c:spPr>
          <a:solidFill>
            <a:srgbClr val="637CEF"/>
          </a:solidFill>
          <a:ln>
            <a:noFill/>
          </a:ln>
          <a:effectLst/>
        </c:spPr>
      </c:pivotFmt>
      <c:pivotFmt>
        <c:idx val="51"/>
        <c:spPr>
          <a:solidFill>
            <a:srgbClr val="637CEF"/>
          </a:solidFill>
          <a:ln>
            <a:noFill/>
          </a:ln>
          <a:effectLst/>
        </c:spPr>
      </c:pivotFmt>
      <c:pivotFmt>
        <c:idx val="52"/>
        <c:spPr>
          <a:solidFill>
            <a:srgbClr val="637CEF"/>
          </a:solidFill>
          <a:ln>
            <a:noFill/>
          </a:ln>
          <a:effectLst/>
        </c:spPr>
      </c:pivotFmt>
      <c:pivotFmt>
        <c:idx val="53"/>
        <c:spPr>
          <a:solidFill>
            <a:srgbClr val="637CEF"/>
          </a:solidFill>
          <a:ln>
            <a:noFill/>
          </a:ln>
          <a:effectLst/>
        </c:spPr>
      </c:pivotFmt>
      <c:pivotFmt>
        <c:idx val="54"/>
        <c:spPr>
          <a:solidFill>
            <a:srgbClr val="637CEF"/>
          </a:solidFill>
          <a:ln>
            <a:noFill/>
          </a:ln>
          <a:effectLst/>
        </c:spPr>
      </c:pivotFmt>
      <c:pivotFmt>
        <c:idx val="55"/>
        <c:spPr>
          <a:solidFill>
            <a:srgbClr val="637CEF"/>
          </a:solidFill>
          <a:ln>
            <a:noFill/>
          </a:ln>
          <a:effectLst/>
        </c:spPr>
      </c:pivotFmt>
      <c:pivotFmt>
        <c:idx val="56"/>
        <c:spPr>
          <a:solidFill>
            <a:srgbClr val="637CEF"/>
          </a:solidFill>
          <a:ln>
            <a:noFill/>
          </a:ln>
          <a:effectLst/>
        </c:spPr>
      </c:pivotFmt>
      <c:pivotFmt>
        <c:idx val="57"/>
        <c:spPr>
          <a:solidFill>
            <a:srgbClr val="637CEF"/>
          </a:solidFill>
          <a:ln>
            <a:noFill/>
          </a:ln>
          <a:effectLst/>
        </c:spPr>
      </c:pivotFmt>
      <c:pivotFmt>
        <c:idx val="58"/>
        <c:spPr>
          <a:solidFill>
            <a:srgbClr val="637CEF"/>
          </a:solidFill>
          <a:ln>
            <a:noFill/>
          </a:ln>
          <a:effectLst/>
        </c:spPr>
      </c:pivotFmt>
      <c:pivotFmt>
        <c:idx val="59"/>
        <c:spPr>
          <a:solidFill>
            <a:srgbClr val="637CEF"/>
          </a:solidFill>
          <a:ln>
            <a:noFill/>
          </a:ln>
          <a:effectLst/>
        </c:spPr>
      </c:pivotFmt>
      <c:pivotFmt>
        <c:idx val="60"/>
        <c:spPr>
          <a:solidFill>
            <a:srgbClr val="637CEF"/>
          </a:solidFill>
          <a:ln>
            <a:noFill/>
          </a:ln>
          <a:effectLst/>
        </c:spPr>
      </c:pivotFmt>
      <c:pivotFmt>
        <c:idx val="61"/>
        <c:spPr>
          <a:solidFill>
            <a:srgbClr val="637CEF"/>
          </a:solidFill>
          <a:ln>
            <a:noFill/>
          </a:ln>
          <a:effectLst/>
        </c:spPr>
      </c:pivotFmt>
      <c:pivotFmt>
        <c:idx val="62"/>
        <c:spPr>
          <a:solidFill>
            <a:srgbClr val="637CEF"/>
          </a:solidFill>
          <a:ln>
            <a:noFill/>
          </a:ln>
          <a:effectLst/>
        </c:spPr>
      </c:pivotFmt>
      <c:pivotFmt>
        <c:idx val="63"/>
        <c:spPr>
          <a:solidFill>
            <a:srgbClr val="637CEF"/>
          </a:solidFill>
          <a:ln>
            <a:noFill/>
          </a:ln>
          <a:effectLst/>
        </c:spPr>
      </c:pivotFmt>
      <c:pivotFmt>
        <c:idx val="64"/>
        <c:spPr>
          <a:solidFill>
            <a:srgbClr val="637CEF"/>
          </a:solidFill>
          <a:ln>
            <a:noFill/>
          </a:ln>
          <a:effectLst/>
        </c:spPr>
      </c:pivotFmt>
      <c:pivotFmt>
        <c:idx val="65"/>
        <c:spPr>
          <a:solidFill>
            <a:srgbClr val="637CEF"/>
          </a:solidFill>
          <a:ln>
            <a:noFill/>
          </a:ln>
          <a:effectLst/>
        </c:spPr>
      </c:pivotFmt>
      <c:pivotFmt>
        <c:idx val="6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67"/>
        <c:spPr>
          <a:solidFill>
            <a:srgbClr val="637CEF"/>
          </a:solidFill>
          <a:ln>
            <a:noFill/>
          </a:ln>
          <a:effectLst/>
        </c:spPr>
      </c:pivotFmt>
      <c:pivotFmt>
        <c:idx val="68"/>
        <c:spPr>
          <a:solidFill>
            <a:srgbClr val="637CEF"/>
          </a:solidFill>
          <a:ln>
            <a:noFill/>
          </a:ln>
          <a:effectLst/>
        </c:spPr>
      </c:pivotFmt>
      <c:pivotFmt>
        <c:idx val="69"/>
        <c:spPr>
          <a:solidFill>
            <a:srgbClr val="637CEF"/>
          </a:solidFill>
          <a:ln>
            <a:noFill/>
          </a:ln>
          <a:effectLst/>
        </c:spPr>
      </c:pivotFmt>
      <c:pivotFmt>
        <c:idx val="70"/>
        <c:spPr>
          <a:solidFill>
            <a:srgbClr val="637CEF"/>
          </a:solidFill>
          <a:ln>
            <a:noFill/>
          </a:ln>
          <a:effectLst/>
        </c:spPr>
      </c:pivotFmt>
      <c:pivotFmt>
        <c:idx val="71"/>
        <c:spPr>
          <a:solidFill>
            <a:srgbClr val="637CEF"/>
          </a:solidFill>
          <a:ln>
            <a:noFill/>
          </a:ln>
          <a:effectLst/>
        </c:spPr>
      </c:pivotFmt>
      <c:pivotFmt>
        <c:idx val="72"/>
        <c:spPr>
          <a:solidFill>
            <a:srgbClr val="637CEF"/>
          </a:solidFill>
          <a:ln>
            <a:noFill/>
          </a:ln>
          <a:effectLst/>
        </c:spPr>
      </c:pivotFmt>
      <c:pivotFmt>
        <c:idx val="73"/>
        <c:spPr>
          <a:solidFill>
            <a:srgbClr val="637CEF"/>
          </a:solidFill>
          <a:ln>
            <a:noFill/>
          </a:ln>
          <a:effectLst/>
        </c:spPr>
      </c:pivotFmt>
      <c:pivotFmt>
        <c:idx val="74"/>
        <c:spPr>
          <a:solidFill>
            <a:srgbClr val="637CEF"/>
          </a:solidFill>
          <a:ln>
            <a:noFill/>
          </a:ln>
          <a:effectLst/>
        </c:spPr>
      </c:pivotFmt>
      <c:pivotFmt>
        <c:idx val="75"/>
        <c:spPr>
          <a:solidFill>
            <a:srgbClr val="637CEF"/>
          </a:solidFill>
          <a:ln>
            <a:noFill/>
          </a:ln>
          <a:effectLst/>
        </c:spPr>
      </c:pivotFmt>
      <c:pivotFmt>
        <c:idx val="76"/>
        <c:spPr>
          <a:solidFill>
            <a:srgbClr val="637CEF"/>
          </a:solidFill>
          <a:ln>
            <a:noFill/>
          </a:ln>
          <a:effectLst/>
        </c:spPr>
      </c:pivotFmt>
      <c:pivotFmt>
        <c:idx val="77"/>
        <c:spPr>
          <a:solidFill>
            <a:srgbClr val="637CEF"/>
          </a:solidFill>
          <a:ln>
            <a:noFill/>
          </a:ln>
          <a:effectLst/>
        </c:spPr>
      </c:pivotFmt>
      <c:pivotFmt>
        <c:idx val="78"/>
        <c:spPr>
          <a:solidFill>
            <a:srgbClr val="637CEF"/>
          </a:solidFill>
          <a:ln>
            <a:noFill/>
          </a:ln>
          <a:effectLst/>
        </c:spPr>
      </c:pivotFmt>
      <c:pivotFmt>
        <c:idx val="79"/>
        <c:spPr>
          <a:solidFill>
            <a:srgbClr val="637CEF"/>
          </a:solidFill>
          <a:ln>
            <a:noFill/>
          </a:ln>
          <a:effectLst/>
        </c:spPr>
      </c:pivotFmt>
      <c:pivotFmt>
        <c:idx val="80"/>
        <c:spPr>
          <a:solidFill>
            <a:srgbClr val="637CEF"/>
          </a:solidFill>
          <a:ln>
            <a:noFill/>
          </a:ln>
          <a:effectLst/>
        </c:spPr>
      </c:pivotFmt>
      <c:pivotFmt>
        <c:idx val="81"/>
        <c:spPr>
          <a:solidFill>
            <a:srgbClr val="637CEF"/>
          </a:solidFill>
          <a:ln>
            <a:noFill/>
          </a:ln>
          <a:effectLst/>
        </c:spPr>
      </c:pivotFmt>
      <c:pivotFmt>
        <c:idx val="82"/>
        <c:spPr>
          <a:solidFill>
            <a:srgbClr val="637CEF"/>
          </a:solidFill>
          <a:ln>
            <a:noFill/>
          </a:ln>
          <a:effectLst/>
        </c:spPr>
      </c:pivotFmt>
      <c:pivotFmt>
        <c:idx val="83"/>
        <c:spPr>
          <a:solidFill>
            <a:srgbClr val="637CEF"/>
          </a:solidFill>
          <a:ln>
            <a:noFill/>
          </a:ln>
          <a:effectLst/>
        </c:spPr>
      </c:pivotFmt>
      <c:pivotFmt>
        <c:idx val="84"/>
        <c:spPr>
          <a:solidFill>
            <a:srgbClr val="637CEF"/>
          </a:solidFill>
          <a:ln>
            <a:noFill/>
          </a:ln>
          <a:effectLst/>
        </c:spPr>
      </c:pivotFmt>
      <c:pivotFmt>
        <c:idx val="8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8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87"/>
        <c:spPr>
          <a:solidFill>
            <a:srgbClr val="637CEF"/>
          </a:solidFill>
          <a:ln>
            <a:noFill/>
          </a:ln>
          <a:effectLst/>
        </c:spPr>
      </c:pivotFmt>
      <c:pivotFmt>
        <c:idx val="88"/>
        <c:spPr>
          <a:solidFill>
            <a:srgbClr val="637CEF"/>
          </a:solidFill>
          <a:ln>
            <a:noFill/>
          </a:ln>
          <a:effectLst/>
        </c:spPr>
      </c:pivotFmt>
      <c:pivotFmt>
        <c:idx val="89"/>
        <c:spPr>
          <a:solidFill>
            <a:srgbClr val="637CEF"/>
          </a:solidFill>
          <a:ln>
            <a:noFill/>
          </a:ln>
          <a:effectLst/>
        </c:spPr>
      </c:pivotFmt>
      <c:pivotFmt>
        <c:idx val="90"/>
        <c:spPr>
          <a:solidFill>
            <a:srgbClr val="637CEF"/>
          </a:solidFill>
          <a:ln>
            <a:noFill/>
          </a:ln>
          <a:effectLst/>
        </c:spPr>
      </c:pivotFmt>
      <c:pivotFmt>
        <c:idx val="91"/>
        <c:spPr>
          <a:solidFill>
            <a:srgbClr val="637CEF"/>
          </a:solidFill>
          <a:ln>
            <a:noFill/>
          </a:ln>
          <a:effectLst/>
        </c:spPr>
      </c:pivotFmt>
      <c:pivotFmt>
        <c:idx val="92"/>
        <c:spPr>
          <a:solidFill>
            <a:srgbClr val="637CEF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'Day 3 - Bike Sales - Pivot Tabl'!$B$3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5DD-4195-A986-771FD6779E00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5DD-4195-A986-771FD6779E00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5DD-4195-A986-771FD6779E00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5DD-4195-A986-771FD6779E00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5DD-4195-A986-771FD6779E00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5DD-4195-A986-771FD6779E00}"/>
              </c:ext>
            </c:extLst>
          </c:dPt>
          <c:dPt>
            <c:idx val="6"/>
            <c:bubble3D val="0"/>
            <c:spPr>
              <a:solidFill>
                <a:srgbClr val="CA501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15DD-4195-A986-771FD6779E00}"/>
              </c:ext>
            </c:extLst>
          </c:dPt>
          <c:dPt>
            <c:idx val="7"/>
            <c:bubble3D val="0"/>
            <c:spPr>
              <a:solidFill>
                <a:srgbClr val="57811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15DD-4195-A986-771FD6779E00}"/>
              </c:ext>
            </c:extLst>
          </c:dPt>
          <c:dPt>
            <c:idx val="8"/>
            <c:bubble3D val="0"/>
            <c:spPr>
              <a:solidFill>
                <a:srgbClr val="B146C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15DD-4195-A986-771FD6779E00}"/>
              </c:ext>
            </c:extLst>
          </c:dPt>
          <c:dPt>
            <c:idx val="9"/>
            <c:bubble3D val="0"/>
            <c:spPr>
              <a:solidFill>
                <a:srgbClr val="AE8C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15DD-4195-A986-771FD6779E00}"/>
              </c:ext>
            </c:extLst>
          </c:dPt>
          <c:dPt>
            <c:idx val="10"/>
            <c:bubble3D val="0"/>
            <c:spPr>
              <a:solidFill>
                <a:srgbClr val="AE8C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15DD-4195-A986-771FD6779E00}"/>
              </c:ext>
            </c:extLst>
          </c:dPt>
          <c:dPt>
            <c:idx val="11"/>
            <c:bubble3D val="0"/>
            <c:spPr>
              <a:solidFill>
                <a:srgbClr val="637CE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15DD-4195-A986-771FD6779E00}"/>
              </c:ext>
            </c:extLst>
          </c:dPt>
          <c:dPt>
            <c:idx val="12"/>
            <c:bubble3D val="0"/>
            <c:spPr>
              <a:solidFill>
                <a:srgbClr val="EE5FB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15DD-4195-A986-771FD6779E00}"/>
              </c:ext>
            </c:extLst>
          </c:dPt>
          <c:dPt>
            <c:idx val="13"/>
            <c:bubble3D val="0"/>
            <c:spPr>
              <a:solidFill>
                <a:srgbClr val="008B9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15DD-4195-A986-771FD6779E00}"/>
              </c:ext>
            </c:extLst>
          </c:dPt>
          <c:dPt>
            <c:idx val="14"/>
            <c:bubble3D val="0"/>
            <c:spPr>
              <a:solidFill>
                <a:srgbClr val="D7744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15DD-4195-A986-771FD6779E00}"/>
              </c:ext>
            </c:extLst>
          </c:dPt>
          <c:dPt>
            <c:idx val="15"/>
            <c:bubble3D val="0"/>
            <c:spPr>
              <a:solidFill>
                <a:srgbClr val="BA58C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15DD-4195-A986-771FD6779E00}"/>
              </c:ext>
            </c:extLst>
          </c:dPt>
          <c:dPt>
            <c:idx val="16"/>
            <c:bubble3D val="0"/>
            <c:spPr>
              <a:solidFill>
                <a:srgbClr val="3A96D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15DD-4195-A986-771FD6779E00}"/>
              </c:ext>
            </c:extLst>
          </c:dPt>
          <c:dPt>
            <c:idx val="17"/>
            <c:bubble3D val="0"/>
            <c:spPr>
              <a:solidFill>
                <a:srgbClr val="E3008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15DD-4195-A986-771FD6779E00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'Day 3 - Bike Sales - Pivot Tabl'!$A$4:$A$10</c:f>
              <c:strCache>
                <c:ptCount val="6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United Kingdom</c:v>
                </c:pt>
                <c:pt idx="5">
                  <c:v>United States</c:v>
                </c:pt>
              </c:strCache>
            </c:strRef>
          </c:cat>
          <c:val>
            <c:numRef>
              <c:f>'Day 3 - Bike Sales - Pivot Tabl'!$B$4:$B$10</c:f>
              <c:numCache>
                <c:formatCode>0.00%</c:formatCode>
                <c:ptCount val="6"/>
                <c:pt idx="0">
                  <c:v>0.30778922132250408</c:v>
                </c:pt>
                <c:pt idx="1">
                  <c:v>5.579543508574504E-2</c:v>
                </c:pt>
                <c:pt idx="2">
                  <c:v>0.12831788047068032</c:v>
                </c:pt>
                <c:pt idx="3">
                  <c:v>8.3396531056584386E-2</c:v>
                </c:pt>
                <c:pt idx="4">
                  <c:v>5.5483523741957579E-2</c:v>
                </c:pt>
                <c:pt idx="5">
                  <c:v>0.36921740832252858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15DD-4195-A986-771FD6779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933450</xdr:colOff>
      <xdr:row>0</xdr:row>
      <xdr:rowOff>95249</xdr:rowOff>
    </xdr:from>
    <xdr:to>
      <xdr:col>7</xdr:col>
      <xdr:colOff>523875</xdr:colOff>
      <xdr:row>21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0F37FE-4EA2-35C8-31D7-9C93CE44F6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xcel Services" refreshedDate="45961.10352650463" createdVersion="8" refreshedVersion="8" minRefreshableVersion="3" recordCount="88">
  <cacheSource type="worksheet">
    <worksheetSource ref="A1:S89" sheet="Day 3 - 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 count="1">
        <n v="2021"/>
      </sharedItems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6">
        <s v="United States"/>
        <s v="United Kingdom"/>
        <s v="Australia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 count="18">
        <s v="Mountain-200 Black, 46"/>
        <s v="Mountain-200 Silver, 42"/>
        <s v="Mountain-400-W Silver, 46"/>
        <s v="Mountain-400-W Silver, 42"/>
        <s v="Mountain-200 Black, 38"/>
        <s v="Mountain-200 Silver, 38"/>
        <s v="Mountain-200 Black, 42"/>
        <s v="Mountain-400-W Silver, 38"/>
        <s v="Mountain-500 Silver, 42"/>
        <s v="Mountain-500 Black, 42"/>
        <s v="Mountain-100 Black, 38"/>
        <s v="Mountain-500 Black, 40"/>
        <s v="Mountain-100 Silver, 44"/>
        <s v="Mountain-500 Silver, 40"/>
        <s v="Mountain-200 Silver, 46"/>
        <s v="Mountain-500 Black, 44"/>
        <s v="Mountain-100 Black, 48"/>
        <s v="Mountain-500 Black, 52"/>
      </sharedItems>
    </cacheField>
    <cacheField name="Order_Quantity" numFmtId="0">
      <sharedItems containsSemiMixedTypes="0" containsString="0" containsNumber="1" containsInteger="1" minValue="1" maxValue="4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 count="21">
        <n v="4172"/>
        <n v="1054"/>
        <n v="698"/>
        <n v="349"/>
        <n v="2086"/>
        <n v="1043"/>
        <n v="1396"/>
        <n v="1047"/>
        <n v="2108"/>
        <n v="1028"/>
        <n v="4216"/>
        <n v="245"/>
        <n v="2954"/>
        <n v="1488"/>
        <n v="3129"/>
        <n v="3162"/>
        <n v="257"/>
        <n v="980"/>
        <n v="5908"/>
        <n v="490"/>
        <n v="735"/>
      </sharedItems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 count="21">
        <n v="9180"/>
        <n v="2320"/>
        <n v="1538"/>
        <n v="769"/>
        <n v="4590"/>
        <n v="2295"/>
        <n v="3076"/>
        <n v="2307"/>
        <n v="4640"/>
        <n v="2260"/>
        <n v="9280"/>
        <n v="540"/>
        <n v="6750"/>
        <n v="3400"/>
        <n v="6885"/>
        <n v="6960"/>
        <n v="565"/>
        <n v="2160"/>
        <n v="13500"/>
        <n v="1080"/>
        <n v="162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8">
  <r>
    <s v="000261696"/>
    <d v="2021-12-01T00:00:00"/>
    <n v="1"/>
    <s v="December"/>
    <x v="0"/>
    <n v="39"/>
    <x v="0"/>
    <x v="0"/>
    <x v="0"/>
    <s v="California"/>
    <s v="Bikes"/>
    <s v="Mountain Bikes"/>
    <x v="0"/>
    <n v="4"/>
    <n v="1252"/>
    <n v="2295"/>
    <x v="0"/>
    <n v="5008"/>
    <x v="0"/>
  </r>
  <r>
    <s v="000261695"/>
    <d v="2021-12-01T00:00:00"/>
    <n v="1"/>
    <s v="December"/>
    <x v="0"/>
    <n v="44"/>
    <x v="0"/>
    <x v="1"/>
    <x v="1"/>
    <s v="England"/>
    <s v="Bikes"/>
    <s v="Mountain Bikes"/>
    <x v="1"/>
    <n v="1"/>
    <n v="1266"/>
    <n v="2320"/>
    <x v="1"/>
    <n v="1266"/>
    <x v="1"/>
  </r>
  <r>
    <s v="000261697"/>
    <d v="2021-12-02T00:00:00"/>
    <n v="2"/>
    <s v="December"/>
    <x v="0"/>
    <n v="37"/>
    <x v="0"/>
    <x v="1"/>
    <x v="0"/>
    <s v="California"/>
    <s v="Bikes"/>
    <s v="Mountain Bikes"/>
    <x v="2"/>
    <n v="2"/>
    <n v="420"/>
    <n v="769"/>
    <x v="2"/>
    <n v="840"/>
    <x v="2"/>
  </r>
  <r>
    <s v="000261698"/>
    <d v="2021-12-02T00:00:00"/>
    <n v="2"/>
    <s v="December"/>
    <x v="0"/>
    <n v="31"/>
    <x v="1"/>
    <x v="0"/>
    <x v="2"/>
    <s v="New South Wales"/>
    <s v="Bikes"/>
    <s v="Mountain Bikes"/>
    <x v="3"/>
    <n v="1"/>
    <n v="420"/>
    <n v="769"/>
    <x v="3"/>
    <n v="420"/>
    <x v="3"/>
  </r>
  <r>
    <s v="000261699"/>
    <d v="2021-12-03T00:00:00"/>
    <n v="3"/>
    <s v="December"/>
    <x v="0"/>
    <n v="37"/>
    <x v="0"/>
    <x v="0"/>
    <x v="0"/>
    <s v="California"/>
    <s v="Bikes"/>
    <s v="Mountain Bikes"/>
    <x v="0"/>
    <n v="2"/>
    <n v="1252"/>
    <n v="2295"/>
    <x v="4"/>
    <n v="2504"/>
    <x v="4"/>
  </r>
  <r>
    <s v="000261700"/>
    <d v="2021-12-03T00:00:00"/>
    <n v="3"/>
    <s v="December"/>
    <x v="0"/>
    <n v="24"/>
    <x v="2"/>
    <x v="0"/>
    <x v="1"/>
    <s v="England"/>
    <s v="Bikes"/>
    <s v="Mountain Bikes"/>
    <x v="4"/>
    <n v="1"/>
    <n v="1252"/>
    <n v="2295"/>
    <x v="5"/>
    <n v="1252"/>
    <x v="5"/>
  </r>
  <r>
    <s v="000261701"/>
    <d v="2021-12-03T00:00:00"/>
    <n v="3"/>
    <s v="December"/>
    <x v="0"/>
    <n v="37"/>
    <x v="0"/>
    <x v="1"/>
    <x v="0"/>
    <s v="Washington"/>
    <s v="Bikes"/>
    <s v="Mountain Bikes"/>
    <x v="0"/>
    <n v="1"/>
    <n v="1252"/>
    <n v="2295"/>
    <x v="5"/>
    <n v="1252"/>
    <x v="5"/>
  </r>
  <r>
    <s v="000261702"/>
    <d v="2021-12-04T00:00:00"/>
    <n v="4"/>
    <s v="December"/>
    <x v="0"/>
    <n v="31"/>
    <x v="1"/>
    <x v="0"/>
    <x v="2"/>
    <s v="New South Wales"/>
    <s v="Bikes"/>
    <s v="Mountain Bikes"/>
    <x v="3"/>
    <n v="4"/>
    <n v="420"/>
    <n v="769"/>
    <x v="6"/>
    <n v="1680"/>
    <x v="6"/>
  </r>
  <r>
    <s v="000261703"/>
    <d v="2021-12-05T00:00:00"/>
    <n v="5"/>
    <s v="December"/>
    <x v="0"/>
    <n v="39"/>
    <x v="0"/>
    <x v="0"/>
    <x v="0"/>
    <s v="California"/>
    <s v="Bikes"/>
    <s v="Mountain Bikes"/>
    <x v="0"/>
    <n v="4"/>
    <n v="1252"/>
    <n v="2295"/>
    <x v="0"/>
    <n v="5008"/>
    <x v="0"/>
  </r>
  <r>
    <s v="000261704"/>
    <d v="2021-12-05T00:00:00"/>
    <m/>
    <s v="December"/>
    <x v="0"/>
    <n v="42"/>
    <x v="0"/>
    <x v="1"/>
    <x v="3"/>
    <s v="Nordrhein-Westfalen"/>
    <s v="Bikes"/>
    <s v="Mountain Bikes"/>
    <x v="4"/>
    <n v="4"/>
    <n v="1252"/>
    <n v="2295"/>
    <x v="0"/>
    <n v="5008"/>
    <x v="0"/>
  </r>
  <r>
    <s v="000261705"/>
    <d v="2021-12-05T00:00:00"/>
    <n v="5"/>
    <s v="December"/>
    <x v="0"/>
    <n v="35"/>
    <x v="0"/>
    <x v="0"/>
    <x v="2"/>
    <s v="Queensland"/>
    <s v="Bikes"/>
    <s v="Mountain Bikes"/>
    <x v="5"/>
    <n v="1"/>
    <n v="1266"/>
    <n v="2320"/>
    <x v="1"/>
    <n v="1266"/>
    <x v="1"/>
  </r>
  <r>
    <s v="000261706"/>
    <d v="2021-12-05T00:00:00"/>
    <n v="5"/>
    <s v="December"/>
    <x v="0"/>
    <n v="37"/>
    <x v="0"/>
    <x v="0"/>
    <x v="0"/>
    <s v="California"/>
    <s v="Bikes"/>
    <s v="Mountain Bikes"/>
    <x v="0"/>
    <n v="1"/>
    <n v="1252"/>
    <n v="2295"/>
    <x v="5"/>
    <n v="1252"/>
    <x v="5"/>
  </r>
  <r>
    <s v="000261707"/>
    <d v="2021-12-06T00:00:00"/>
    <n v="6"/>
    <s v="December"/>
    <x v="0"/>
    <n v="23"/>
    <x v="2"/>
    <x v="1"/>
    <x v="1"/>
    <s v="England"/>
    <s v="Bikes"/>
    <s v="Mountain Bikes"/>
    <x v="2"/>
    <n v="3"/>
    <n v="420"/>
    <n v="769"/>
    <x v="7"/>
    <n v="1260"/>
    <x v="7"/>
  </r>
  <r>
    <s v="000261708"/>
    <d v="2021-12-06T00:00:00"/>
    <n v="6"/>
    <s v="December"/>
    <x v="0"/>
    <n v="27"/>
    <x v="1"/>
    <x v="1"/>
    <x v="4"/>
    <s v="British Columbia"/>
    <s v="Bikes"/>
    <s v="Mountain Bikes"/>
    <x v="0"/>
    <n v="1"/>
    <n v="1252"/>
    <n v="2295"/>
    <x v="5"/>
    <n v="1252"/>
    <x v="5"/>
  </r>
  <r>
    <s v="000261709"/>
    <d v="2021-12-06T00:00:00"/>
    <n v="6"/>
    <s v="December"/>
    <x v="0"/>
    <n v="36"/>
    <x v="0"/>
    <x v="1"/>
    <x v="2"/>
    <s v="New South Wales"/>
    <s v="Bikes"/>
    <s v="Mountain Bikes"/>
    <x v="6"/>
    <n v="1"/>
    <n v="1252"/>
    <n v="2295"/>
    <x v="5"/>
    <n v="1252"/>
    <x v="5"/>
  </r>
  <r>
    <s v="000261710"/>
    <d v="2021-12-06T00:00:00"/>
    <n v="6"/>
    <s v="December"/>
    <x v="0"/>
    <n v="47"/>
    <x v="0"/>
    <x v="1"/>
    <x v="1"/>
    <s v="England"/>
    <s v="Bikes"/>
    <s v="Mountain Bikes"/>
    <x v="5"/>
    <n v="1"/>
    <n v="1266"/>
    <n v="2320"/>
    <x v="1"/>
    <n v="1266"/>
    <x v="1"/>
  </r>
  <r>
    <s v="000261711"/>
    <d v="2021-12-07T00:00:00"/>
    <n v="7"/>
    <s v="December"/>
    <x v="0"/>
    <n v="30"/>
    <x v="1"/>
    <x v="1"/>
    <x v="0"/>
    <s v="California"/>
    <s v="Bikes"/>
    <s v="Mountain Bikes"/>
    <x v="7"/>
    <n v="4"/>
    <n v="420"/>
    <n v="769"/>
    <x v="6"/>
    <n v="1680"/>
    <x v="6"/>
  </r>
  <r>
    <s v="000261712"/>
    <d v="2021-12-07T00:00:00"/>
    <n v="7"/>
    <s v="December"/>
    <x v="0"/>
    <n v="38"/>
    <x v="0"/>
    <x v="1"/>
    <x v="0"/>
    <s v="California"/>
    <s v="Bikes"/>
    <s v="Mountain Bikes"/>
    <x v="1"/>
    <n v="2"/>
    <n v="1266"/>
    <n v="2320"/>
    <x v="8"/>
    <n v="2532"/>
    <x v="8"/>
  </r>
  <r>
    <s v="000261713"/>
    <d v="2021-12-08T00:00:00"/>
    <n v="8"/>
    <s v="December"/>
    <x v="0"/>
    <n v="19"/>
    <x v="2"/>
    <x v="0"/>
    <x v="2"/>
    <s v="New South Wales"/>
    <s v="Bikes"/>
    <s v="Mountain Bikes"/>
    <x v="8"/>
    <n v="4"/>
    <n v="308"/>
    <n v="565"/>
    <x v="9"/>
    <n v="1232"/>
    <x v="9"/>
  </r>
  <r>
    <s v="000261714"/>
    <d v="2021-12-08T00:00:00"/>
    <n v="8"/>
    <s v="December"/>
    <x v="0"/>
    <n v="30"/>
    <x v="1"/>
    <x v="0"/>
    <x v="4"/>
    <s v="British Columbia"/>
    <s v="Bikes"/>
    <s v="Mountain Bikes"/>
    <x v="5"/>
    <n v="4"/>
    <n v="1266"/>
    <n v="2320"/>
    <x v="10"/>
    <n v="5064"/>
    <x v="10"/>
  </r>
  <r>
    <s v="000261715"/>
    <d v="2021-12-08T00:00:00"/>
    <n v="8"/>
    <s v="December"/>
    <x v="0"/>
    <n v="39"/>
    <x v="0"/>
    <x v="0"/>
    <x v="0"/>
    <s v="Oregon"/>
    <s v="Bikes"/>
    <s v="Mountain Bikes"/>
    <x v="9"/>
    <n v="2"/>
    <n v="1252"/>
    <n v="2295"/>
    <x v="4"/>
    <n v="2504"/>
    <x v="4"/>
  </r>
  <r>
    <s v="000261716"/>
    <d v="2021-12-08T00:00:00"/>
    <n v="8"/>
    <s v="December"/>
    <x v="0"/>
    <n v="35"/>
    <x v="0"/>
    <x v="0"/>
    <x v="0"/>
    <s v="California"/>
    <s v="Bikes"/>
    <s v="Mountain Bikes"/>
    <x v="9"/>
    <n v="1"/>
    <n v="295"/>
    <n v="540"/>
    <x v="11"/>
    <n v="295"/>
    <x v="11"/>
  </r>
  <r>
    <s v="000261717"/>
    <d v="2021-12-09T00:00:00"/>
    <n v="9"/>
    <s v="December"/>
    <x v="0"/>
    <n v="33"/>
    <x v="1"/>
    <x v="0"/>
    <x v="2"/>
    <s v="Victoria"/>
    <s v="Bikes"/>
    <s v="Mountain Bikes"/>
    <x v="10"/>
    <n v="2"/>
    <n v="1898"/>
    <n v="3375"/>
    <x v="12"/>
    <n v="3796"/>
    <x v="12"/>
  </r>
  <r>
    <s v="000261718"/>
    <d v="2021-12-09T00:00:00"/>
    <n v="9"/>
    <s v="December"/>
    <x v="0"/>
    <n v="41"/>
    <x v="0"/>
    <x v="0"/>
    <x v="3"/>
    <s v="Hamburg"/>
    <s v="Bikes"/>
    <s v="Mountain Bikes"/>
    <x v="1"/>
    <n v="1"/>
    <n v="1266"/>
    <n v="2320"/>
    <x v="1"/>
    <n v="1266"/>
    <x v="1"/>
  </r>
  <r>
    <s v="000261719"/>
    <d v="2021-12-10T00:00:00"/>
    <n v="10"/>
    <s v="December"/>
    <x v="0"/>
    <n v="34"/>
    <x v="1"/>
    <x v="0"/>
    <x v="0"/>
    <s v="California"/>
    <s v="Bikes"/>
    <s v="Mountain Bikes"/>
    <x v="6"/>
    <n v="2"/>
    <n v="1252"/>
    <n v="2295"/>
    <x v="4"/>
    <n v="2504"/>
    <x v="4"/>
  </r>
  <r>
    <s v="000261720"/>
    <d v="2021-12-10T00:00:00"/>
    <n v="10"/>
    <s v="December"/>
    <x v="0"/>
    <n v="40"/>
    <x v="0"/>
    <x v="1"/>
    <x v="2"/>
    <s v="New South Wales"/>
    <s v="Bikes"/>
    <s v="Mountain Bikes"/>
    <x v="6"/>
    <n v="2"/>
    <n v="1252"/>
    <n v="2295"/>
    <x v="4"/>
    <n v="2504"/>
    <x v="4"/>
  </r>
  <r>
    <s v="000261721"/>
    <d v="2021-12-10T00:00:00"/>
    <n v="10"/>
    <s v="December"/>
    <x v="0"/>
    <n v="26"/>
    <x v="1"/>
    <x v="1"/>
    <x v="1"/>
    <s v="England"/>
    <s v="Bikes"/>
    <s v="Mountain Bikes"/>
    <x v="4"/>
    <n v="1"/>
    <n v="1252"/>
    <n v="2295"/>
    <x v="5"/>
    <n v="1252"/>
    <x v="5"/>
  </r>
  <r>
    <s v="000261722"/>
    <d v="2021-12-10T00:00:00"/>
    <n v="10"/>
    <s v="December"/>
    <x v="0"/>
    <n v="34"/>
    <x v="1"/>
    <x v="1"/>
    <x v="0"/>
    <s v="California"/>
    <s v="Bikes"/>
    <s v="Mountain Bikes"/>
    <x v="11"/>
    <n v="1"/>
    <n v="295"/>
    <n v="540"/>
    <x v="11"/>
    <n v="295"/>
    <x v="11"/>
  </r>
  <r>
    <s v="000261723"/>
    <d v="2021-12-10T00:00:00"/>
    <n v="10"/>
    <s v="December"/>
    <x v="0"/>
    <n v="34"/>
    <x v="1"/>
    <x v="0"/>
    <x v="0"/>
    <s v="Washington"/>
    <s v="Bikes"/>
    <s v="Mountain Bikes"/>
    <x v="12"/>
    <n v="1"/>
    <n v="1912"/>
    <n v="3400"/>
    <x v="13"/>
    <n v="1912"/>
    <x v="13"/>
  </r>
  <r>
    <s v="000261724"/>
    <d v="2021-12-10T00:00:00"/>
    <n v="10"/>
    <s v="December"/>
    <x v="0"/>
    <n v="38"/>
    <x v="0"/>
    <x v="1"/>
    <x v="2"/>
    <s v="New South Wales"/>
    <s v="Bikes"/>
    <s v="Mountain Bikes"/>
    <x v="4"/>
    <n v="1"/>
    <n v="1252"/>
    <n v="2295"/>
    <x v="5"/>
    <n v="1252"/>
    <x v="5"/>
  </r>
  <r>
    <s v="000261725"/>
    <d v="2021-12-11T00:00:00"/>
    <n v="11"/>
    <s v="December"/>
    <x v="0"/>
    <n v="24"/>
    <x v="2"/>
    <x v="0"/>
    <x v="5"/>
    <s v="Seine (Paris)"/>
    <s v="Bikes"/>
    <s v="Mountain Bikes"/>
    <x v="4"/>
    <n v="3"/>
    <n v="1252"/>
    <n v="2295"/>
    <x v="14"/>
    <n v="3756"/>
    <x v="14"/>
  </r>
  <r>
    <s v="000261726"/>
    <d v="2021-12-11T00:00:00"/>
    <n v="11"/>
    <s v="December"/>
    <x v="0"/>
    <n v="41"/>
    <x v="0"/>
    <x v="0"/>
    <x v="2"/>
    <s v="New South Wales"/>
    <s v="Bikes"/>
    <s v="Mountain Bikes"/>
    <x v="7"/>
    <n v="2"/>
    <n v="420"/>
    <n v="769"/>
    <x v="2"/>
    <n v="840"/>
    <x v="2"/>
  </r>
  <r>
    <s v="000261727"/>
    <d v="2021-12-11T00:00:00"/>
    <n v="11"/>
    <s v="December"/>
    <x v="0"/>
    <n v="27"/>
    <x v="1"/>
    <x v="1"/>
    <x v="4"/>
    <s v="British Columbia"/>
    <s v="Bikes"/>
    <s v="Mountain Bikes"/>
    <x v="0"/>
    <n v="1"/>
    <n v="1252"/>
    <n v="2295"/>
    <x v="5"/>
    <n v="1252"/>
    <x v="5"/>
  </r>
  <r>
    <s v="000261728"/>
    <d v="2021-12-11T00:00:00"/>
    <n v="11"/>
    <s v="December"/>
    <x v="0"/>
    <n v="37"/>
    <x v="0"/>
    <x v="1"/>
    <x v="0"/>
    <s v="California"/>
    <s v="Bikes"/>
    <s v="Mountain Bikes"/>
    <x v="2"/>
    <n v="1"/>
    <n v="420"/>
    <n v="769"/>
    <x v="3"/>
    <n v="420"/>
    <x v="3"/>
  </r>
  <r>
    <s v="000261729"/>
    <d v="2021-12-11T00:00:00"/>
    <n v="11"/>
    <s v="December"/>
    <x v="0"/>
    <n v="38"/>
    <x v="0"/>
    <x v="0"/>
    <x v="0"/>
    <s v="California"/>
    <s v="Bikes"/>
    <s v="Mountain Bikes"/>
    <x v="5"/>
    <n v="1"/>
    <n v="1266"/>
    <n v="2320"/>
    <x v="1"/>
    <n v="1266"/>
    <x v="1"/>
  </r>
  <r>
    <s v="000261730"/>
    <d v="2021-12-12T00:00:00"/>
    <n v="12"/>
    <s v="December"/>
    <x v="0"/>
    <n v="36"/>
    <x v="0"/>
    <x v="0"/>
    <x v="2"/>
    <s v="New South Wales"/>
    <s v="Bikes"/>
    <s v="Mountain Bikes"/>
    <x v="1"/>
    <n v="4"/>
    <n v="1266"/>
    <n v="2320"/>
    <x v="10"/>
    <n v="5064"/>
    <x v="10"/>
  </r>
  <r>
    <s v="000261731"/>
    <d v="2021-12-12T00:00:00"/>
    <n v="12"/>
    <s v="December"/>
    <x v="0"/>
    <n v="37"/>
    <x v="0"/>
    <x v="1"/>
    <x v="0"/>
    <s v="California"/>
    <s v="Bikes"/>
    <s v="Mountain Bikes"/>
    <x v="2"/>
    <n v="4"/>
    <n v="420"/>
    <n v="769"/>
    <x v="6"/>
    <n v="1680"/>
    <x v="6"/>
  </r>
  <r>
    <s v="000261732"/>
    <d v="2021-12-12T00:00:00"/>
    <n v="12"/>
    <s v="December"/>
    <x v="0"/>
    <n v="34"/>
    <x v="1"/>
    <x v="1"/>
    <x v="2"/>
    <s v="New South Wales"/>
    <s v="Bikes"/>
    <s v="Mountain Bikes"/>
    <x v="4"/>
    <n v="2"/>
    <n v="1252"/>
    <n v="2295"/>
    <x v="4"/>
    <n v="2504"/>
    <x v="4"/>
  </r>
  <r>
    <s v="000261733"/>
    <d v="2021-12-12T00:00:00"/>
    <n v="12"/>
    <s v="December"/>
    <x v="0"/>
    <n v="35"/>
    <x v="0"/>
    <x v="0"/>
    <x v="2"/>
    <s v="Victoria"/>
    <s v="Bikes"/>
    <s v="Mountain Bikes"/>
    <x v="1"/>
    <n v="1"/>
    <n v="1266"/>
    <n v="2320"/>
    <x v="1"/>
    <n v="1266"/>
    <x v="1"/>
  </r>
  <r>
    <s v="000261734"/>
    <d v="2021-12-12T00:00:00"/>
    <n v="12"/>
    <s v="December"/>
    <x v="0"/>
    <n v="38"/>
    <x v="0"/>
    <x v="0"/>
    <x v="0"/>
    <s v="Washington"/>
    <s v="Bikes"/>
    <s v="Mountain Bikes"/>
    <x v="1"/>
    <n v="1"/>
    <n v="1266"/>
    <n v="2320"/>
    <x v="1"/>
    <n v="1266"/>
    <x v="1"/>
  </r>
  <r>
    <s v="000261735"/>
    <d v="2021-12-13T00:00:00"/>
    <n v="13"/>
    <s v="December"/>
    <x v="0"/>
    <n v="32"/>
    <x v="1"/>
    <x v="0"/>
    <x v="2"/>
    <s v="Queensland"/>
    <s v="Bikes"/>
    <s v="Mountain Bikes"/>
    <x v="1"/>
    <n v="3"/>
    <n v="1266"/>
    <n v="2320"/>
    <x v="15"/>
    <n v="3798"/>
    <x v="15"/>
  </r>
  <r>
    <s v="000261736"/>
    <d v="2021-12-13T00:00:00"/>
    <n v="13"/>
    <s v="December"/>
    <x v="0"/>
    <n v="40"/>
    <x v="0"/>
    <x v="0"/>
    <x v="0"/>
    <s v="California"/>
    <s v="Bikes"/>
    <s v="Mountain Bikes"/>
    <x v="13"/>
    <n v="1"/>
    <n v="308"/>
    <n v="565"/>
    <x v="16"/>
    <n v="308"/>
    <x v="16"/>
  </r>
  <r>
    <s v="000261737"/>
    <d v="2021-12-13T00:00:00"/>
    <n v="13"/>
    <s v="December"/>
    <x v="0"/>
    <n v="44"/>
    <x v="0"/>
    <x v="0"/>
    <x v="1"/>
    <s v="England"/>
    <s v="Bikes"/>
    <s v="Mountain Bikes"/>
    <x v="4"/>
    <n v="1"/>
    <n v="1252"/>
    <n v="2295"/>
    <x v="5"/>
    <n v="1252"/>
    <x v="5"/>
  </r>
  <r>
    <s v="000261738"/>
    <d v="2021-12-13T00:00:00"/>
    <n v="13"/>
    <s v="December"/>
    <x v="0"/>
    <n v="49"/>
    <x v="0"/>
    <x v="1"/>
    <x v="1"/>
    <s v="England"/>
    <s v="Bikes"/>
    <s v="Mountain Bikes"/>
    <x v="4"/>
    <n v="1"/>
    <n v="1252"/>
    <n v="2295"/>
    <x v="5"/>
    <n v="1252"/>
    <x v="5"/>
  </r>
  <r>
    <s v="000261739"/>
    <d v="2021-12-14T00:00:00"/>
    <n v="14"/>
    <s v="December"/>
    <x v="0"/>
    <n v="30"/>
    <x v="1"/>
    <x v="0"/>
    <x v="0"/>
    <s v="Washington"/>
    <s v="Bikes"/>
    <s v="Mountain Bikes"/>
    <x v="5"/>
    <n v="2"/>
    <n v="1266"/>
    <n v="2320"/>
    <x v="8"/>
    <n v="2532"/>
    <x v="8"/>
  </r>
  <r>
    <s v="000261740"/>
    <d v="2021-12-14T00:00:00"/>
    <n v="14"/>
    <s v="December"/>
    <x v="0"/>
    <n v="32"/>
    <x v="1"/>
    <x v="1"/>
    <x v="0"/>
    <s v="California"/>
    <s v="Bikes"/>
    <s v="Mountain Bikes"/>
    <x v="0"/>
    <n v="1"/>
    <n v="1252"/>
    <n v="2295"/>
    <x v="5"/>
    <n v="1252"/>
    <x v="5"/>
  </r>
  <r>
    <s v="000261741"/>
    <d v="2021-12-14T00:00:00"/>
    <n v="14"/>
    <s v="December"/>
    <x v="0"/>
    <n v="32"/>
    <x v="1"/>
    <x v="0"/>
    <x v="2"/>
    <s v="Victoria"/>
    <s v="Bikes"/>
    <s v="Mountain Bikes"/>
    <x v="2"/>
    <n v="1"/>
    <n v="420"/>
    <n v="769"/>
    <x v="3"/>
    <n v="420"/>
    <x v="3"/>
  </r>
  <r>
    <s v="000261742"/>
    <d v="2021-12-15T00:00:00"/>
    <n v="15"/>
    <s v="December"/>
    <x v="0"/>
    <n v="29"/>
    <x v="1"/>
    <x v="0"/>
    <x v="0"/>
    <s v="California"/>
    <s v="Bikes"/>
    <s v="Mountain Bikes"/>
    <x v="1"/>
    <n v="1"/>
    <n v="1266"/>
    <n v="2320"/>
    <x v="1"/>
    <n v="1266"/>
    <x v="1"/>
  </r>
  <r>
    <s v="000261743"/>
    <d v="2021-12-16T00:00:00"/>
    <n v="16"/>
    <s v="December"/>
    <x v="0"/>
    <n v="33"/>
    <x v="1"/>
    <x v="0"/>
    <x v="2"/>
    <s v="New South Wales"/>
    <s v="Bikes"/>
    <s v="Mountain Bikes"/>
    <x v="4"/>
    <n v="2"/>
    <n v="1252"/>
    <n v="2295"/>
    <x v="4"/>
    <n v="2504"/>
    <x v="4"/>
  </r>
  <r>
    <s v="000261744"/>
    <d v="2021-12-16T00:00:00"/>
    <n v="16"/>
    <s v="December"/>
    <x v="0"/>
    <n v="38"/>
    <x v="0"/>
    <x v="1"/>
    <x v="2"/>
    <s v="New South Wales"/>
    <s v="Bikes"/>
    <s v="Mountain Bikes"/>
    <x v="4"/>
    <n v="2"/>
    <n v="1252"/>
    <n v="2295"/>
    <x v="4"/>
    <n v="2504"/>
    <x v="4"/>
  </r>
  <r>
    <s v="000261745"/>
    <d v="2021-12-16T00:00:00"/>
    <n v="16"/>
    <s v="December"/>
    <x v="0"/>
    <n v="27"/>
    <x v="1"/>
    <x v="0"/>
    <x v="5"/>
    <s v="Seine et Marne"/>
    <s v="Bikes"/>
    <s v="Mountain Bikes"/>
    <x v="14"/>
    <n v="1"/>
    <n v="1266"/>
    <n v="2320"/>
    <x v="1"/>
    <n v="1266"/>
    <x v="1"/>
  </r>
  <r>
    <s v="000261746"/>
    <d v="2021-12-17T00:00:00"/>
    <n v="17"/>
    <s v="December"/>
    <x v="0"/>
    <n v="37"/>
    <x v="0"/>
    <x v="0"/>
    <x v="0"/>
    <s v="Washington"/>
    <s v="Bikes"/>
    <s v="Mountain Bikes"/>
    <x v="5"/>
    <n v="2"/>
    <n v="1266"/>
    <n v="2320"/>
    <x v="8"/>
    <n v="2532"/>
    <x v="8"/>
  </r>
  <r>
    <s v="000261747"/>
    <d v="2021-12-17T00:00:00"/>
    <n v="17"/>
    <s v="December"/>
    <x v="0"/>
    <n v="31"/>
    <x v="1"/>
    <x v="1"/>
    <x v="2"/>
    <s v="New South Wales"/>
    <s v="Bikes"/>
    <s v="Mountain Bikes"/>
    <x v="3"/>
    <n v="1"/>
    <n v="420"/>
    <n v="769"/>
    <x v="3"/>
    <n v="420"/>
    <x v="3"/>
  </r>
  <r>
    <s v="000261748"/>
    <d v="2021-12-17T00:00:00"/>
    <n v="17"/>
    <s v="December"/>
    <x v="0"/>
    <n v="42"/>
    <x v="0"/>
    <x v="0"/>
    <x v="3"/>
    <s v="Nordrhein-Westfalen"/>
    <s v="Bikes"/>
    <s v="Mountain Bikes"/>
    <x v="14"/>
    <n v="1"/>
    <n v="1266"/>
    <n v="2320"/>
    <x v="1"/>
    <n v="1266"/>
    <x v="1"/>
  </r>
  <r>
    <s v="000261749"/>
    <d v="2021-12-18T00:00:00"/>
    <n v="18"/>
    <s v="December"/>
    <x v="0"/>
    <n v="35"/>
    <x v="0"/>
    <x v="0"/>
    <x v="2"/>
    <s v="New South Wales"/>
    <s v="Bikes"/>
    <s v="Mountain Bikes"/>
    <x v="8"/>
    <n v="4"/>
    <n v="308"/>
    <n v="565"/>
    <x v="9"/>
    <n v="1232"/>
    <x v="9"/>
  </r>
  <r>
    <s v="000261750"/>
    <d v="2021-12-18T00:00:00"/>
    <n v="18"/>
    <s v="December"/>
    <x v="0"/>
    <n v="38"/>
    <x v="0"/>
    <x v="0"/>
    <x v="3"/>
    <s v="Nordrhein-Westfalen"/>
    <s v="Bikes"/>
    <s v="Mountain Bikes"/>
    <x v="14"/>
    <n v="4"/>
    <n v="1266"/>
    <n v="2320"/>
    <x v="10"/>
    <n v="5064"/>
    <x v="10"/>
  </r>
  <r>
    <s v="000261751"/>
    <d v="2021-12-18T00:00:00"/>
    <n v="18"/>
    <s v="December"/>
    <x v="0"/>
    <n v="24"/>
    <x v="2"/>
    <x v="0"/>
    <x v="5"/>
    <s v="Seine Saint Denis"/>
    <s v="Bikes"/>
    <s v="Mountain Bikes"/>
    <x v="5"/>
    <n v="3"/>
    <n v="1266"/>
    <n v="2320"/>
    <x v="15"/>
    <n v="3798"/>
    <x v="15"/>
  </r>
  <r>
    <s v="000261752"/>
    <d v="2021-12-18T00:00:00"/>
    <n v="18"/>
    <s v="December"/>
    <x v="0"/>
    <n v="26"/>
    <x v="1"/>
    <x v="0"/>
    <x v="1"/>
    <s v="England"/>
    <s v="Bikes"/>
    <s v="Mountain Bikes"/>
    <x v="3"/>
    <n v="3"/>
    <n v="420"/>
    <n v="769"/>
    <x v="7"/>
    <n v="1260"/>
    <x v="7"/>
  </r>
  <r>
    <s v="000261753"/>
    <d v="2021-12-18T00:00:00"/>
    <n v="18"/>
    <s v="December"/>
    <x v="0"/>
    <n v="39"/>
    <x v="0"/>
    <x v="1"/>
    <x v="0"/>
    <s v="California"/>
    <s v="Bikes"/>
    <s v="Mountain Bikes"/>
    <x v="6"/>
    <n v="3"/>
    <n v="1252"/>
    <n v="2295"/>
    <x v="14"/>
    <n v="3756"/>
    <x v="14"/>
  </r>
  <r>
    <s v="000261754"/>
    <d v="2021-12-18T00:00:00"/>
    <n v="18"/>
    <s v="December"/>
    <x v="0"/>
    <n v="26"/>
    <x v="1"/>
    <x v="1"/>
    <x v="5"/>
    <s v="Seine (Paris)"/>
    <s v="Bikes"/>
    <s v="Mountain Bikes"/>
    <x v="0"/>
    <n v="1"/>
    <n v="1252"/>
    <n v="2295"/>
    <x v="5"/>
    <n v="1252"/>
    <x v="5"/>
  </r>
  <r>
    <s v="000261755"/>
    <d v="2021-12-18T00:00:00"/>
    <n v="18"/>
    <s v="December"/>
    <x v="0"/>
    <n v="36"/>
    <x v="0"/>
    <x v="1"/>
    <x v="0"/>
    <s v="Washington"/>
    <s v="Bikes"/>
    <s v="Mountain Bikes"/>
    <x v="5"/>
    <n v="1"/>
    <n v="1266"/>
    <n v="2320"/>
    <x v="1"/>
    <n v="1266"/>
    <x v="1"/>
  </r>
  <r>
    <s v="000261756"/>
    <d v="2021-12-19T00:00:00"/>
    <n v="19"/>
    <s v="December"/>
    <x v="0"/>
    <n v="17"/>
    <x v="2"/>
    <x v="1"/>
    <x v="5"/>
    <s v="Nord"/>
    <s v="Bikes"/>
    <s v="Mountain Bikes"/>
    <x v="14"/>
    <n v="4"/>
    <n v="1266"/>
    <n v="2320"/>
    <x v="10"/>
    <n v="5064"/>
    <x v="10"/>
  </r>
  <r>
    <s v="000261757"/>
    <d v="2021-12-19T00:00:00"/>
    <n v="19"/>
    <s v="December"/>
    <x v="0"/>
    <n v="19"/>
    <x v="2"/>
    <x v="0"/>
    <x v="2"/>
    <s v="Victoria"/>
    <s v="Bikes"/>
    <s v="Mountain Bikes"/>
    <x v="15"/>
    <n v="4"/>
    <n v="295"/>
    <n v="540"/>
    <x v="17"/>
    <n v="1180"/>
    <x v="17"/>
  </r>
  <r>
    <s v="000261758"/>
    <d v="2021-12-19T00:00:00"/>
    <n v="19"/>
    <s v="December"/>
    <x v="0"/>
    <n v="25"/>
    <x v="1"/>
    <x v="1"/>
    <x v="5"/>
    <s v="Seine (Paris)"/>
    <s v="Bikes"/>
    <s v="Mountain Bikes"/>
    <x v="4"/>
    <n v="4"/>
    <n v="1252"/>
    <n v="2295"/>
    <x v="0"/>
    <n v="5008"/>
    <x v="0"/>
  </r>
  <r>
    <s v="000261759"/>
    <d v="2021-12-19T00:00:00"/>
    <n v="19"/>
    <s v="December"/>
    <x v="0"/>
    <n v="35"/>
    <x v="0"/>
    <x v="0"/>
    <x v="0"/>
    <s v="Oregon"/>
    <s v="Bikes"/>
    <s v="Mountain Bikes"/>
    <x v="16"/>
    <n v="4"/>
    <n v="1898"/>
    <n v="3375"/>
    <x v="18"/>
    <n v="7592"/>
    <x v="18"/>
  </r>
  <r>
    <s v="000261760"/>
    <d v="2021-12-19T00:00:00"/>
    <n v="19"/>
    <s v="December"/>
    <x v="0"/>
    <n v="37"/>
    <x v="0"/>
    <x v="1"/>
    <x v="0"/>
    <s v="Oregon"/>
    <s v="Bikes"/>
    <s v="Mountain Bikes"/>
    <x v="4"/>
    <n v="4"/>
    <n v="1252"/>
    <n v="2295"/>
    <x v="0"/>
    <n v="5008"/>
    <x v="0"/>
  </r>
  <r>
    <s v="000261761"/>
    <d v="2021-12-19T00:00:00"/>
    <n v="19"/>
    <s v="December"/>
    <x v="0"/>
    <n v="39"/>
    <x v="0"/>
    <x v="0"/>
    <x v="0"/>
    <s v="California"/>
    <s v="Bikes"/>
    <s v="Mountain Bikes"/>
    <x v="0"/>
    <n v="4"/>
    <n v="1252"/>
    <n v="2295"/>
    <x v="0"/>
    <n v="5008"/>
    <x v="0"/>
  </r>
  <r>
    <s v="000261762"/>
    <d v="2021-12-19T00:00:00"/>
    <n v="19"/>
    <s v="December"/>
    <x v="0"/>
    <n v="63"/>
    <x v="0"/>
    <x v="0"/>
    <x v="2"/>
    <s v="Queensland"/>
    <s v="Bikes"/>
    <s v="Mountain Bikes"/>
    <x v="0"/>
    <n v="4"/>
    <n v="1252"/>
    <n v="2295"/>
    <x v="0"/>
    <n v="5008"/>
    <x v="0"/>
  </r>
  <r>
    <s v="000261763"/>
    <d v="2021-12-19T00:00:00"/>
    <n v="19"/>
    <s v="December"/>
    <x v="0"/>
    <n v="18"/>
    <x v="2"/>
    <x v="1"/>
    <x v="2"/>
    <s v="South Australia"/>
    <s v="Bikes"/>
    <s v="Mountain Bikes"/>
    <x v="11"/>
    <n v="2"/>
    <n v="295"/>
    <n v="540"/>
    <x v="19"/>
    <n v="590"/>
    <x v="19"/>
  </r>
  <r>
    <s v="000261764"/>
    <d v="2021-12-19T00:00:00"/>
    <n v="19"/>
    <s v="December"/>
    <x v="0"/>
    <n v="56"/>
    <x v="0"/>
    <x v="0"/>
    <x v="3"/>
    <s v="Hessen"/>
    <s v="Bikes"/>
    <s v="Mountain Bikes"/>
    <x v="0"/>
    <n v="2"/>
    <n v="1252"/>
    <n v="2295"/>
    <x v="4"/>
    <n v="2504"/>
    <x v="4"/>
  </r>
  <r>
    <s v="000261765"/>
    <d v="2021-12-19T00:00:00"/>
    <n v="19"/>
    <s v="December"/>
    <x v="0"/>
    <n v="39"/>
    <x v="0"/>
    <x v="0"/>
    <x v="0"/>
    <s v="Washington"/>
    <s v="Bikes"/>
    <s v="Mountain Bikes"/>
    <x v="5"/>
    <n v="1"/>
    <n v="1266"/>
    <n v="2320"/>
    <x v="1"/>
    <n v="1266"/>
    <x v="1"/>
  </r>
  <r>
    <s v="000261766"/>
    <d v="2021-12-20T00:00:00"/>
    <n v="20"/>
    <s v="December"/>
    <x v="0"/>
    <n v="33"/>
    <x v="1"/>
    <x v="0"/>
    <x v="2"/>
    <s v="Victoria"/>
    <s v="Bikes"/>
    <s v="Mountain Bikes"/>
    <x v="10"/>
    <n v="4"/>
    <n v="1898"/>
    <n v="3375"/>
    <x v="18"/>
    <n v="7592"/>
    <x v="18"/>
  </r>
  <r>
    <s v="000261767"/>
    <d v="2021-12-20T00:00:00"/>
    <n v="20"/>
    <s v="December"/>
    <x v="0"/>
    <n v="57"/>
    <x v="0"/>
    <x v="1"/>
    <x v="2"/>
    <s v="Queensland"/>
    <s v="Bikes"/>
    <s v="Mountain Bikes"/>
    <x v="0"/>
    <n v="4"/>
    <n v="1252"/>
    <n v="2295"/>
    <x v="0"/>
    <n v="5008"/>
    <x v="0"/>
  </r>
  <r>
    <s v="000261768"/>
    <d v="2021-12-20T00:00:00"/>
    <n v="20"/>
    <s v="December"/>
    <x v="0"/>
    <n v="29"/>
    <x v="1"/>
    <x v="1"/>
    <x v="4"/>
    <s v="British Columbia"/>
    <s v="Bikes"/>
    <s v="Mountain Bikes"/>
    <x v="17"/>
    <n v="3"/>
    <n v="295"/>
    <n v="540"/>
    <x v="20"/>
    <n v="885"/>
    <x v="20"/>
  </r>
  <r>
    <s v="000261769"/>
    <d v="2021-12-20T00:00:00"/>
    <n v="20"/>
    <s v="December"/>
    <x v="0"/>
    <n v="35"/>
    <x v="0"/>
    <x v="0"/>
    <x v="2"/>
    <s v="Queensland"/>
    <s v="Bikes"/>
    <s v="Mountain Bikes"/>
    <x v="5"/>
    <n v="1"/>
    <n v="1266"/>
    <n v="2320"/>
    <x v="1"/>
    <n v="1266"/>
    <x v="1"/>
  </r>
  <r>
    <s v="000261770"/>
    <d v="2021-12-20T00:00:00"/>
    <n v="20"/>
    <s v="December"/>
    <x v="0"/>
    <n v="35"/>
    <x v="0"/>
    <x v="1"/>
    <x v="2"/>
    <s v="Victoria"/>
    <s v="Bikes"/>
    <s v="Mountain Bikes"/>
    <x v="5"/>
    <n v="1"/>
    <n v="1266"/>
    <n v="2320"/>
    <x v="1"/>
    <n v="1266"/>
    <x v="1"/>
  </r>
  <r>
    <s v="000261771"/>
    <d v="2021-12-21T00:00:00"/>
    <n v="21"/>
    <s v="December"/>
    <x v="0"/>
    <n v="26"/>
    <x v="1"/>
    <x v="1"/>
    <x v="5"/>
    <s v="Somme"/>
    <s v="Bikes"/>
    <s v="Mountain Bikes"/>
    <x v="5"/>
    <n v="3"/>
    <n v="1266"/>
    <n v="2320"/>
    <x v="15"/>
    <n v="3798"/>
    <x v="15"/>
  </r>
  <r>
    <s v="000261772"/>
    <d v="2021-12-21T00:00:00"/>
    <n v="21"/>
    <s v="December"/>
    <x v="0"/>
    <n v="23"/>
    <x v="2"/>
    <x v="1"/>
    <x v="1"/>
    <s v="England"/>
    <s v="Bikes"/>
    <s v="Mountain Bikes"/>
    <x v="2"/>
    <n v="2"/>
    <n v="420"/>
    <n v="769"/>
    <x v="2"/>
    <n v="840"/>
    <x v="2"/>
  </r>
  <r>
    <s v="000261773"/>
    <d v="2021-12-22T00:00:00"/>
    <n v="22"/>
    <s v="December"/>
    <x v="0"/>
    <n v="30"/>
    <x v="1"/>
    <x v="0"/>
    <x v="0"/>
    <s v="Washington"/>
    <s v="Bikes"/>
    <s v="Mountain Bikes"/>
    <x v="5"/>
    <n v="3"/>
    <n v="1266"/>
    <n v="2320"/>
    <x v="15"/>
    <n v="3798"/>
    <x v="15"/>
  </r>
  <r>
    <s v="000261774"/>
    <d v="2021-12-22T00:00:00"/>
    <n v="22"/>
    <s v="December"/>
    <x v="0"/>
    <n v="41"/>
    <x v="0"/>
    <x v="1"/>
    <x v="0"/>
    <s v="California"/>
    <s v="Bikes"/>
    <s v="Mountain Bikes"/>
    <x v="6"/>
    <n v="3"/>
    <n v="1252"/>
    <n v="2295"/>
    <x v="14"/>
    <n v="3756"/>
    <x v="14"/>
  </r>
  <r>
    <s v="000261775"/>
    <d v="2021-12-22T00:00:00"/>
    <n v="22"/>
    <s v="December"/>
    <x v="0"/>
    <n v="19"/>
    <x v="2"/>
    <x v="0"/>
    <x v="2"/>
    <s v="New South Wales"/>
    <s v="Bikes"/>
    <s v="Mountain Bikes"/>
    <x v="8"/>
    <n v="1"/>
    <n v="308"/>
    <n v="565"/>
    <x v="16"/>
    <n v="308"/>
    <x v="16"/>
  </r>
  <r>
    <s v="000261776"/>
    <d v="2021-12-22T00:00:00"/>
    <n v="22"/>
    <s v="December"/>
    <x v="0"/>
    <n v="25"/>
    <x v="1"/>
    <x v="1"/>
    <x v="5"/>
    <s v="Seine (Paris)"/>
    <s v="Bikes"/>
    <s v="Mountain Bikes"/>
    <x v="4"/>
    <n v="1"/>
    <n v="1252"/>
    <n v="2295"/>
    <x v="5"/>
    <n v="1252"/>
    <x v="5"/>
  </r>
  <r>
    <s v="000261777"/>
    <d v="2021-12-22T00:00:00"/>
    <n v="22"/>
    <s v="December"/>
    <x v="0"/>
    <n v="27"/>
    <x v="1"/>
    <x v="0"/>
    <x v="4"/>
    <s v="British Columbia"/>
    <s v="Bikes"/>
    <s v="Mountain Bikes"/>
    <x v="0"/>
    <n v="1"/>
    <n v="1252"/>
    <n v="2295"/>
    <x v="5"/>
    <n v="1252"/>
    <x v="5"/>
  </r>
  <r>
    <s v="000261778"/>
    <d v="2021-12-22T00:00:00"/>
    <n v="22"/>
    <s v="December"/>
    <x v="0"/>
    <n v="41"/>
    <x v="0"/>
    <x v="1"/>
    <x v="3"/>
    <s v="Hessen"/>
    <s v="Bikes"/>
    <s v="Mountain Bikes"/>
    <x v="5"/>
    <n v="1"/>
    <n v="1266"/>
    <n v="2320"/>
    <x v="1"/>
    <n v="1266"/>
    <x v="1"/>
  </r>
  <r>
    <s v="000261779"/>
    <d v="2021-12-23T00:00:00"/>
    <n v="23"/>
    <s v="December"/>
    <x v="0"/>
    <n v="30"/>
    <x v="1"/>
    <x v="0"/>
    <x v="0"/>
    <s v="Oregon"/>
    <s v="Bikes"/>
    <s v="Mountain Bikes"/>
    <x v="1"/>
    <n v="1"/>
    <n v="1266"/>
    <n v="2320"/>
    <x v="1"/>
    <n v="1266"/>
    <x v="1"/>
  </r>
  <r>
    <s v="000261780"/>
    <d v="2021-12-23T00:00:00"/>
    <n v="23"/>
    <s v="December"/>
    <x v="0"/>
    <n v="31"/>
    <x v="1"/>
    <x v="0"/>
    <x v="4"/>
    <s v="British Columbia"/>
    <s v="Bikes"/>
    <s v="Mountain Bikes"/>
    <x v="6"/>
    <n v="1"/>
    <n v="1252"/>
    <n v="2295"/>
    <x v="5"/>
    <n v="1252"/>
    <x v="5"/>
  </r>
  <r>
    <s v="000261781"/>
    <d v="2021-12-23T00:00:00"/>
    <n v="23"/>
    <s v="December"/>
    <x v="0"/>
    <n v="35"/>
    <x v="0"/>
    <x v="0"/>
    <x v="0"/>
    <s v="California"/>
    <s v="Bikes"/>
    <s v="Mountain Bikes"/>
    <x v="9"/>
    <n v="1"/>
    <n v="295"/>
    <n v="540"/>
    <x v="11"/>
    <n v="295"/>
    <x v="11"/>
  </r>
  <r>
    <s v="000261782"/>
    <d v="2021-12-24T00:00:00"/>
    <n v="24"/>
    <s v="December"/>
    <x v="0"/>
    <n v="38"/>
    <x v="0"/>
    <x v="1"/>
    <x v="2"/>
    <s v="Queensland"/>
    <s v="Bikes"/>
    <s v="Mountain Bikes"/>
    <x v="6"/>
    <n v="4"/>
    <n v="1252"/>
    <n v="2295"/>
    <x v="0"/>
    <n v="500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Bike Sales" cacheId="4" applyNumberFormats="0" applyBorderFormats="0" applyFontFormats="0" applyPatternFormats="0" applyAlignmentFormats="0" applyWidthHeightFormats="1" dataCaption="Values" missingCaption="0" updatedVersion="6" minRefreshableVersion="3" useAutoFormatting="1" itemPrintTitles="1" createdVersion="8" indent="0" compact="0" compactData="0" multipleFieldFilters="0" chartFormat="2">
  <location ref="A3:B10" firstHeaderRow="1" firstDataRow="1" firstDataCol="1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sortType="descending">
      <items count="4">
        <item sd="0" x="2"/>
        <item sd="0" x="1"/>
        <item sd="0" x="0"/>
        <item t="default"/>
      </items>
    </pivotField>
    <pivotField compact="0" outline="0" showAll="0">
      <items count="3">
        <item x="0"/>
        <item x="1"/>
        <item t="default"/>
      </items>
    </pivotField>
    <pivotField axis="axisRow"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19">
        <item x="10"/>
        <item x="16"/>
        <item x="12"/>
        <item x="4"/>
        <item x="6"/>
        <item x="0"/>
        <item x="5"/>
        <item x="1"/>
        <item x="14"/>
        <item x="7"/>
        <item x="3"/>
        <item x="2"/>
        <item x="11"/>
        <item x="9"/>
        <item x="15"/>
        <item x="17"/>
        <item x="13"/>
        <item x="8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 Profit " fld="16" showDataAs="percentOfTotal" baseField="0" baseItem="0" numFmtId="10"/>
  </dataFields>
  <formats count="8">
    <format dxfId="0">
      <pivotArea outline="0" collapsedLevelsAreSubtotals="1" fieldPosition="0"/>
    </format>
    <format dxfId="1">
      <pivotArea type="origin" dataOnly="0" labelOnly="1" outline="0" fieldPosition="0"/>
    </format>
    <format dxfId="2">
      <pivotArea field="6" type="button" dataOnly="0" labelOnly="1" outline="0"/>
    </format>
    <format dxfId="3">
      <pivotArea dataOnly="0" labelOnly="1" grandRow="1" outline="0" fieldPosition="0"/>
    </format>
    <format dxfId="4">
      <pivotArea grandRow="1" outline="0" collapsedLevelsAreSubtotals="1" fieldPosition="0"/>
    </format>
    <format dxfId="5">
      <pivotArea outline="0" collapsedLevelsAreSubtotals="1" fieldPosition="0"/>
    </format>
    <format dxfId="6">
      <pivotArea dataOnly="0" labelOnly="1" grandRow="1" outline="0" fieldPosition="0"/>
    </format>
    <format dxfId="7">
      <pivotArea outline="0" fieldPosition="0">
        <references count="1">
          <reference field="4294967294" count="1">
            <x v="0"/>
          </reference>
        </references>
      </pivotArea>
    </format>
  </formats>
  <chartFormats count="7">
    <chartFormat chart="1" format="8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8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8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8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90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9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" format="92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5" displayName="Table5" ref="A1:S89" totalsRowShown="0" headerRowDxfId="22">
  <autoFilter ref="A1:S89"/>
  <tableColumns count="19">
    <tableColumn id="1" name="Sales_Order #" dataDxfId="21"/>
    <tableColumn id="2" name="Date" dataDxfId="20"/>
    <tableColumn id="3" name="Day"/>
    <tableColumn id="4" name="Month"/>
    <tableColumn id="5" name="Year" dataDxfId="19"/>
    <tableColumn id="6" name="Customer_Age" dataDxfId="18"/>
    <tableColumn id="7" name="Age_Group" dataDxfId="17"/>
    <tableColumn id="8" name="Customer_Gender" dataDxfId="16"/>
    <tableColumn id="9" name="Country"/>
    <tableColumn id="10" name="State"/>
    <tableColumn id="11" name="Product_Category"/>
    <tableColumn id="12" name="Sub_Category"/>
    <tableColumn id="13" name="Product_Description" dataDxfId="15"/>
    <tableColumn id="14" name="Order_Quantity" dataDxfId="14"/>
    <tableColumn id="15" name=" Unit_Cost " dataDxfId="13"/>
    <tableColumn id="16" name=" Unit_Price " dataDxfId="12"/>
    <tableColumn id="17" name=" Profit " dataDxfId="11"/>
    <tableColumn id="18" name=" Cost " dataDxfId="10">
      <calculatedColumnFormula>N2*O2</calculatedColumnFormula>
    </tableColumn>
    <tableColumn id="19" name="Revenue" dataDxfId="9">
      <calculatedColumnFormula>N2*P2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S89" totalsRowShown="0">
  <autoFilter ref="A1:S89"/>
  <tableColumns count="19">
    <tableColumn id="1" name="Sales_Order #"/>
    <tableColumn id="2" name="Date" dataDxfId="8"/>
    <tableColumn id="3" name="Day"/>
    <tableColumn id="4" name="Month"/>
    <tableColumn id="5" name="Year"/>
    <tableColumn id="6" name="Customer_Age"/>
    <tableColumn id="7" name="Age_Group"/>
    <tableColumn id="8" name="Customer_Gender"/>
    <tableColumn id="9" name="Country"/>
    <tableColumn id="10" name="State"/>
    <tableColumn id="11" name="Product_Category"/>
    <tableColumn id="12" name="Sub_Category"/>
    <tableColumn id="13" name="Product_Description"/>
    <tableColumn id="14" name="Order_Quantity"/>
    <tableColumn id="15" name=" Unit_Cost "/>
    <tableColumn id="16" name=" Unit_Price "/>
    <tableColumn id="17" name=" Profit "/>
    <tableColumn id="18" name=" Cost "/>
    <tableColumn id="19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0"/>
  <sheetViews>
    <sheetView topLeftCell="I1" workbookViewId="0">
      <selection activeCell="I2" sqref="I2"/>
    </sheetView>
  </sheetViews>
  <sheetFormatPr defaultRowHeight="15" x14ac:dyDescent="0.25"/>
  <cols>
    <col min="1" max="1" width="18.140625" style="1" bestFit="1" customWidth="1"/>
    <col min="2" max="2" width="12.7109375" bestFit="1" customWidth="1"/>
    <col min="3" max="3" width="7.85546875" bestFit="1" customWidth="1"/>
    <col min="4" max="4" width="11.5703125" bestFit="1" customWidth="1"/>
    <col min="5" max="5" width="8.42578125" style="1" bestFit="1" customWidth="1"/>
    <col min="6" max="6" width="19.140625" style="1" bestFit="1" customWidth="1"/>
    <col min="7" max="7" width="22" bestFit="1" customWidth="1"/>
    <col min="8" max="8" width="22.85546875" style="1" bestFit="1" customWidth="1"/>
    <col min="9" max="9" width="17" bestFit="1" customWidth="1"/>
    <col min="10" max="10" width="22" bestFit="1" customWidth="1"/>
    <col min="11" max="11" width="22.5703125" bestFit="1" customWidth="1"/>
    <col min="12" max="12" width="18.140625" bestFit="1" customWidth="1"/>
    <col min="13" max="13" width="28.5703125" bestFit="1" customWidth="1"/>
    <col min="14" max="14" width="20.28515625" style="1" bestFit="1" customWidth="1"/>
    <col min="15" max="15" width="15" bestFit="1" customWidth="1"/>
    <col min="16" max="16" width="15.7109375" bestFit="1" customWidth="1"/>
    <col min="17" max="18" width="11.7109375" bestFit="1" customWidth="1"/>
    <col min="19" max="19" width="12.85546875" bestFit="1" customWidth="1"/>
  </cols>
  <sheetData>
    <row r="1" spans="1:20" x14ac:dyDescent="0.25">
      <c r="A1" s="8" t="s">
        <v>155</v>
      </c>
      <c r="B1" s="7" t="s">
        <v>154</v>
      </c>
      <c r="C1" s="8" t="s">
        <v>153</v>
      </c>
      <c r="D1" s="7" t="s">
        <v>152</v>
      </c>
      <c r="E1" s="8" t="s">
        <v>151</v>
      </c>
      <c r="F1" s="8" t="s">
        <v>150</v>
      </c>
      <c r="G1" s="10" t="s">
        <v>149</v>
      </c>
      <c r="H1" s="8" t="s">
        <v>148</v>
      </c>
      <c r="I1" s="7" t="s">
        <v>147</v>
      </c>
      <c r="J1" s="7" t="s">
        <v>146</v>
      </c>
      <c r="K1" s="7" t="s">
        <v>145</v>
      </c>
      <c r="L1" s="7" t="s">
        <v>144</v>
      </c>
      <c r="M1" s="9" t="s">
        <v>143</v>
      </c>
      <c r="N1" s="8" t="s">
        <v>142</v>
      </c>
      <c r="O1" s="7" t="s">
        <v>141</v>
      </c>
      <c r="P1" s="7" t="s">
        <v>140</v>
      </c>
      <c r="Q1" s="7" t="s">
        <v>139</v>
      </c>
      <c r="R1" s="7" t="s">
        <v>138</v>
      </c>
      <c r="S1" s="7" t="s">
        <v>137</v>
      </c>
      <c r="T1" s="7"/>
    </row>
    <row r="2" spans="1:20" x14ac:dyDescent="0.25">
      <c r="A2" s="6" t="s">
        <v>136</v>
      </c>
      <c r="B2" s="5">
        <v>44531</v>
      </c>
      <c r="C2">
        <v>1</v>
      </c>
      <c r="D2" t="s">
        <v>7</v>
      </c>
      <c r="E2" s="1">
        <v>2021</v>
      </c>
      <c r="F2" s="1">
        <v>39</v>
      </c>
      <c r="G2" s="2" t="s">
        <v>6</v>
      </c>
      <c r="H2" s="1" t="s">
        <v>12</v>
      </c>
      <c r="I2" t="s">
        <v>11</v>
      </c>
      <c r="J2" t="s">
        <v>10</v>
      </c>
      <c r="K2" t="s">
        <v>2</v>
      </c>
      <c r="L2" t="s">
        <v>1</v>
      </c>
      <c r="M2" s="4" t="s">
        <v>25</v>
      </c>
      <c r="N2" s="1">
        <v>4</v>
      </c>
      <c r="O2" s="3">
        <v>1252</v>
      </c>
      <c r="P2" s="3">
        <v>2295</v>
      </c>
      <c r="Q2" s="3">
        <v>4172</v>
      </c>
      <c r="R2" s="3">
        <f t="shared" ref="R2:R33" si="0">N2*O2</f>
        <v>5008</v>
      </c>
      <c r="S2" s="3">
        <f t="shared" ref="S2:S33" si="1">N2*P2</f>
        <v>9180</v>
      </c>
    </row>
    <row r="3" spans="1:20" x14ac:dyDescent="0.25">
      <c r="A3" s="6" t="s">
        <v>135</v>
      </c>
      <c r="B3" s="5">
        <v>44531</v>
      </c>
      <c r="C3">
        <v>1</v>
      </c>
      <c r="D3" t="s">
        <v>7</v>
      </c>
      <c r="E3" s="1">
        <v>2021</v>
      </c>
      <c r="F3" s="1">
        <v>44</v>
      </c>
      <c r="G3" s="2" t="s">
        <v>6</v>
      </c>
      <c r="H3" s="1" t="s">
        <v>5</v>
      </c>
      <c r="I3" t="s">
        <v>40</v>
      </c>
      <c r="J3" t="s">
        <v>39</v>
      </c>
      <c r="K3" t="s">
        <v>2</v>
      </c>
      <c r="L3" t="s">
        <v>1</v>
      </c>
      <c r="M3" s="4" t="s">
        <v>18</v>
      </c>
      <c r="N3" s="1">
        <v>1</v>
      </c>
      <c r="O3" s="3">
        <v>1266</v>
      </c>
      <c r="P3" s="3">
        <v>2320</v>
      </c>
      <c r="Q3" s="3">
        <v>1054</v>
      </c>
      <c r="R3" s="3">
        <f t="shared" si="0"/>
        <v>1266</v>
      </c>
      <c r="S3" s="3">
        <f t="shared" si="1"/>
        <v>2320</v>
      </c>
    </row>
    <row r="4" spans="1:20" x14ac:dyDescent="0.25">
      <c r="A4" s="6" t="s">
        <v>134</v>
      </c>
      <c r="B4" s="5">
        <v>44532</v>
      </c>
      <c r="C4">
        <v>2</v>
      </c>
      <c r="D4" t="s">
        <v>7</v>
      </c>
      <c r="E4" s="1">
        <v>2021</v>
      </c>
      <c r="F4" s="1">
        <v>37</v>
      </c>
      <c r="G4" s="2" t="s">
        <v>6</v>
      </c>
      <c r="H4" s="1" t="s">
        <v>5</v>
      </c>
      <c r="I4" t="s">
        <v>11</v>
      </c>
      <c r="J4" t="s">
        <v>10</v>
      </c>
      <c r="K4" t="s">
        <v>2</v>
      </c>
      <c r="L4" t="s">
        <v>1</v>
      </c>
      <c r="M4" s="4" t="s">
        <v>38</v>
      </c>
      <c r="N4" s="1">
        <v>2</v>
      </c>
      <c r="O4" s="3">
        <v>420</v>
      </c>
      <c r="P4" s="3">
        <v>769</v>
      </c>
      <c r="Q4" s="3">
        <v>698</v>
      </c>
      <c r="R4" s="3">
        <f t="shared" si="0"/>
        <v>840</v>
      </c>
      <c r="S4" s="3">
        <f t="shared" si="1"/>
        <v>1538</v>
      </c>
    </row>
    <row r="5" spans="1:20" x14ac:dyDescent="0.25">
      <c r="A5" s="6" t="s">
        <v>133</v>
      </c>
      <c r="B5" s="5">
        <v>44532</v>
      </c>
      <c r="C5">
        <v>2</v>
      </c>
      <c r="D5" t="s">
        <v>7</v>
      </c>
      <c r="E5" s="1">
        <v>2021</v>
      </c>
      <c r="F5" s="1">
        <v>31</v>
      </c>
      <c r="G5" s="2" t="s">
        <v>16</v>
      </c>
      <c r="H5" s="1" t="s">
        <v>12</v>
      </c>
      <c r="I5" t="s">
        <v>4</v>
      </c>
      <c r="J5" t="s">
        <v>32</v>
      </c>
      <c r="K5" t="s">
        <v>2</v>
      </c>
      <c r="L5" t="s">
        <v>1</v>
      </c>
      <c r="M5" s="4" t="s">
        <v>71</v>
      </c>
      <c r="N5" s="1">
        <v>1</v>
      </c>
      <c r="O5" s="3">
        <v>420</v>
      </c>
      <c r="P5" s="3">
        <v>769</v>
      </c>
      <c r="Q5" s="3">
        <v>349</v>
      </c>
      <c r="R5" s="3">
        <f t="shared" si="0"/>
        <v>420</v>
      </c>
      <c r="S5" s="3">
        <f t="shared" si="1"/>
        <v>769</v>
      </c>
    </row>
    <row r="6" spans="1:20" x14ac:dyDescent="0.25">
      <c r="A6" s="6" t="s">
        <v>132</v>
      </c>
      <c r="B6" s="5">
        <v>44533</v>
      </c>
      <c r="C6">
        <v>3</v>
      </c>
      <c r="D6" t="s">
        <v>7</v>
      </c>
      <c r="E6" s="1">
        <v>2021</v>
      </c>
      <c r="F6" s="1">
        <v>37</v>
      </c>
      <c r="G6" s="2" t="s">
        <v>6</v>
      </c>
      <c r="H6" s="1" t="s">
        <v>12</v>
      </c>
      <c r="I6" t="s">
        <v>11</v>
      </c>
      <c r="J6" t="s">
        <v>10</v>
      </c>
      <c r="K6" t="s">
        <v>2</v>
      </c>
      <c r="L6" t="s">
        <v>1</v>
      </c>
      <c r="M6" s="4" t="s">
        <v>25</v>
      </c>
      <c r="N6" s="1">
        <v>2</v>
      </c>
      <c r="O6" s="3">
        <v>1252</v>
      </c>
      <c r="P6" s="3">
        <v>2295</v>
      </c>
      <c r="Q6" s="3">
        <v>2086</v>
      </c>
      <c r="R6" s="3">
        <f t="shared" si="0"/>
        <v>2504</v>
      </c>
      <c r="S6" s="3">
        <f t="shared" si="1"/>
        <v>4590</v>
      </c>
    </row>
    <row r="7" spans="1:20" x14ac:dyDescent="0.25">
      <c r="A7" s="6" t="s">
        <v>131</v>
      </c>
      <c r="B7" s="5">
        <v>44533</v>
      </c>
      <c r="C7">
        <v>3</v>
      </c>
      <c r="D7" t="s">
        <v>7</v>
      </c>
      <c r="E7" s="1">
        <v>2021</v>
      </c>
      <c r="F7" s="1">
        <v>24</v>
      </c>
      <c r="G7" s="2" t="s">
        <v>33</v>
      </c>
      <c r="H7" s="1" t="s">
        <v>12</v>
      </c>
      <c r="I7" t="s">
        <v>40</v>
      </c>
      <c r="J7" t="s">
        <v>39</v>
      </c>
      <c r="K7" t="s">
        <v>2</v>
      </c>
      <c r="L7" t="s">
        <v>1</v>
      </c>
      <c r="M7" s="4" t="s">
        <v>27</v>
      </c>
      <c r="N7" s="1">
        <v>1</v>
      </c>
      <c r="O7" s="3">
        <v>1252</v>
      </c>
      <c r="P7" s="3">
        <v>2295</v>
      </c>
      <c r="Q7" s="3">
        <v>1043</v>
      </c>
      <c r="R7" s="3">
        <f t="shared" si="0"/>
        <v>1252</v>
      </c>
      <c r="S7" s="3">
        <f t="shared" si="1"/>
        <v>2295</v>
      </c>
    </row>
    <row r="8" spans="1:20" x14ac:dyDescent="0.25">
      <c r="A8" s="6" t="s">
        <v>130</v>
      </c>
      <c r="B8" s="5">
        <v>44533</v>
      </c>
      <c r="C8">
        <v>3</v>
      </c>
      <c r="D8" t="s">
        <v>7</v>
      </c>
      <c r="E8" s="1">
        <v>2021</v>
      </c>
      <c r="F8" s="1">
        <v>37</v>
      </c>
      <c r="G8" s="2" t="s">
        <v>6</v>
      </c>
      <c r="H8" s="1" t="s">
        <v>5</v>
      </c>
      <c r="I8" t="s">
        <v>11</v>
      </c>
      <c r="J8" t="s">
        <v>36</v>
      </c>
      <c r="K8" t="s">
        <v>2</v>
      </c>
      <c r="L8" t="s">
        <v>1</v>
      </c>
      <c r="M8" s="4" t="s">
        <v>25</v>
      </c>
      <c r="N8" s="1">
        <v>1</v>
      </c>
      <c r="O8" s="3">
        <v>1252</v>
      </c>
      <c r="P8" s="3">
        <v>2295</v>
      </c>
      <c r="Q8" s="3">
        <v>1043</v>
      </c>
      <c r="R8" s="3">
        <f t="shared" si="0"/>
        <v>1252</v>
      </c>
      <c r="S8" s="3">
        <f t="shared" si="1"/>
        <v>2295</v>
      </c>
    </row>
    <row r="9" spans="1:20" x14ac:dyDescent="0.25">
      <c r="A9" s="6" t="s">
        <v>129</v>
      </c>
      <c r="B9" s="5">
        <v>44534</v>
      </c>
      <c r="C9">
        <v>4</v>
      </c>
      <c r="D9" t="s">
        <v>7</v>
      </c>
      <c r="E9" s="1">
        <v>2021</v>
      </c>
      <c r="F9" s="1">
        <v>31</v>
      </c>
      <c r="G9" s="2" t="s">
        <v>16</v>
      </c>
      <c r="H9" s="1" t="s">
        <v>12</v>
      </c>
      <c r="I9" t="s">
        <v>4</v>
      </c>
      <c r="J9" t="s">
        <v>32</v>
      </c>
      <c r="K9" t="s">
        <v>2</v>
      </c>
      <c r="L9" t="s">
        <v>1</v>
      </c>
      <c r="M9" s="4" t="s">
        <v>71</v>
      </c>
      <c r="N9" s="1">
        <v>4</v>
      </c>
      <c r="O9" s="3">
        <v>420</v>
      </c>
      <c r="P9" s="3">
        <v>769</v>
      </c>
      <c r="Q9" s="3">
        <v>1396</v>
      </c>
      <c r="R9" s="3">
        <f t="shared" si="0"/>
        <v>1680</v>
      </c>
      <c r="S9" s="3">
        <f t="shared" si="1"/>
        <v>3076</v>
      </c>
    </row>
    <row r="10" spans="1:20" x14ac:dyDescent="0.25">
      <c r="A10" s="6" t="s">
        <v>128</v>
      </c>
      <c r="B10" s="5">
        <v>44535</v>
      </c>
      <c r="C10">
        <v>5</v>
      </c>
      <c r="D10" t="s">
        <v>7</v>
      </c>
      <c r="E10" s="1">
        <v>2021</v>
      </c>
      <c r="F10" s="1">
        <v>39</v>
      </c>
      <c r="G10" s="2" t="s">
        <v>6</v>
      </c>
      <c r="H10" s="1" t="s">
        <v>12</v>
      </c>
      <c r="I10" t="s">
        <v>11</v>
      </c>
      <c r="J10" t="s">
        <v>10</v>
      </c>
      <c r="K10" t="s">
        <v>2</v>
      </c>
      <c r="L10" t="s">
        <v>1</v>
      </c>
      <c r="M10" s="4" t="s">
        <v>25</v>
      </c>
      <c r="N10" s="1">
        <v>4</v>
      </c>
      <c r="O10" s="3">
        <v>1252</v>
      </c>
      <c r="P10" s="3">
        <v>2295</v>
      </c>
      <c r="Q10" s="3">
        <v>4172</v>
      </c>
      <c r="R10" s="3">
        <f t="shared" si="0"/>
        <v>5008</v>
      </c>
      <c r="S10" s="3">
        <f t="shared" si="1"/>
        <v>9180</v>
      </c>
    </row>
    <row r="11" spans="1:20" x14ac:dyDescent="0.25">
      <c r="A11" s="6" t="s">
        <v>127</v>
      </c>
      <c r="B11" s="5">
        <v>44535</v>
      </c>
      <c r="D11" t="s">
        <v>7</v>
      </c>
      <c r="E11" s="1">
        <v>2021</v>
      </c>
      <c r="F11" s="1">
        <v>42</v>
      </c>
      <c r="G11" s="2" t="s">
        <v>6</v>
      </c>
      <c r="H11" s="1" t="s">
        <v>5</v>
      </c>
      <c r="I11" t="s">
        <v>23</v>
      </c>
      <c r="J11" t="s">
        <v>75</v>
      </c>
      <c r="K11" t="s">
        <v>2</v>
      </c>
      <c r="L11" t="s">
        <v>1</v>
      </c>
      <c r="M11" s="4" t="s">
        <v>27</v>
      </c>
      <c r="N11" s="1">
        <v>4</v>
      </c>
      <c r="O11" s="3">
        <v>1252</v>
      </c>
      <c r="P11" s="3">
        <v>2295</v>
      </c>
      <c r="Q11" s="3">
        <v>4172</v>
      </c>
      <c r="R11" s="3">
        <f t="shared" si="0"/>
        <v>5008</v>
      </c>
      <c r="S11" s="3">
        <f t="shared" si="1"/>
        <v>9180</v>
      </c>
    </row>
    <row r="12" spans="1:20" x14ac:dyDescent="0.25">
      <c r="A12" s="6" t="s">
        <v>126</v>
      </c>
      <c r="B12" s="5">
        <v>44535</v>
      </c>
      <c r="C12">
        <v>5</v>
      </c>
      <c r="D12" t="s">
        <v>7</v>
      </c>
      <c r="E12" s="1">
        <v>2021</v>
      </c>
      <c r="F12" s="1">
        <v>35</v>
      </c>
      <c r="G12" s="2" t="s">
        <v>6</v>
      </c>
      <c r="H12" s="1" t="s">
        <v>12</v>
      </c>
      <c r="I12" t="s">
        <v>4</v>
      </c>
      <c r="J12" t="s">
        <v>3</v>
      </c>
      <c r="K12" t="s">
        <v>2</v>
      </c>
      <c r="L12" t="s">
        <v>1</v>
      </c>
      <c r="M12" s="4" t="s">
        <v>21</v>
      </c>
      <c r="N12" s="1">
        <v>1</v>
      </c>
      <c r="O12" s="3">
        <v>1266</v>
      </c>
      <c r="P12" s="3">
        <v>2320</v>
      </c>
      <c r="Q12" s="3">
        <v>1054</v>
      </c>
      <c r="R12" s="3">
        <f t="shared" si="0"/>
        <v>1266</v>
      </c>
      <c r="S12" s="3">
        <f t="shared" si="1"/>
        <v>2320</v>
      </c>
    </row>
    <row r="13" spans="1:20" x14ac:dyDescent="0.25">
      <c r="A13" s="6" t="s">
        <v>125</v>
      </c>
      <c r="B13" s="5">
        <v>44535</v>
      </c>
      <c r="C13">
        <v>5</v>
      </c>
      <c r="D13" t="s">
        <v>7</v>
      </c>
      <c r="E13" s="1">
        <v>2021</v>
      </c>
      <c r="F13" s="1">
        <v>37</v>
      </c>
      <c r="G13" s="2" t="s">
        <v>6</v>
      </c>
      <c r="H13" s="1" t="s">
        <v>12</v>
      </c>
      <c r="I13" t="s">
        <v>11</v>
      </c>
      <c r="J13" t="s">
        <v>10</v>
      </c>
      <c r="K13" t="s">
        <v>2</v>
      </c>
      <c r="L13" t="s">
        <v>1</v>
      </c>
      <c r="M13" s="4" t="s">
        <v>25</v>
      </c>
      <c r="N13" s="1">
        <v>1</v>
      </c>
      <c r="O13" s="3">
        <v>1252</v>
      </c>
      <c r="P13" s="3">
        <v>2295</v>
      </c>
      <c r="Q13" s="3">
        <v>1043</v>
      </c>
      <c r="R13" s="3">
        <f t="shared" si="0"/>
        <v>1252</v>
      </c>
      <c r="S13" s="3">
        <f t="shared" si="1"/>
        <v>2295</v>
      </c>
    </row>
    <row r="14" spans="1:20" x14ac:dyDescent="0.25">
      <c r="A14" s="6" t="s">
        <v>124</v>
      </c>
      <c r="B14" s="5">
        <v>44536</v>
      </c>
      <c r="C14">
        <v>6</v>
      </c>
      <c r="D14" t="s">
        <v>7</v>
      </c>
      <c r="E14" s="1">
        <v>2021</v>
      </c>
      <c r="F14" s="1">
        <v>23</v>
      </c>
      <c r="G14" s="2" t="s">
        <v>33</v>
      </c>
      <c r="H14" s="1" t="s">
        <v>5</v>
      </c>
      <c r="I14" t="s">
        <v>40</v>
      </c>
      <c r="J14" t="s">
        <v>39</v>
      </c>
      <c r="K14" t="s">
        <v>2</v>
      </c>
      <c r="L14" t="s">
        <v>1</v>
      </c>
      <c r="M14" s="4" t="s">
        <v>38</v>
      </c>
      <c r="N14" s="1">
        <v>3</v>
      </c>
      <c r="O14" s="3">
        <v>420</v>
      </c>
      <c r="P14" s="3">
        <v>769</v>
      </c>
      <c r="Q14" s="3">
        <v>1047</v>
      </c>
      <c r="R14" s="3">
        <f t="shared" si="0"/>
        <v>1260</v>
      </c>
      <c r="S14" s="3">
        <f t="shared" si="1"/>
        <v>2307</v>
      </c>
    </row>
    <row r="15" spans="1:20" x14ac:dyDescent="0.25">
      <c r="A15" s="6" t="s">
        <v>123</v>
      </c>
      <c r="B15" s="5">
        <v>44536</v>
      </c>
      <c r="C15">
        <v>6</v>
      </c>
      <c r="D15" t="s">
        <v>7</v>
      </c>
      <c r="E15" s="1">
        <v>2021</v>
      </c>
      <c r="F15" s="1">
        <v>27</v>
      </c>
      <c r="G15" s="2" t="s">
        <v>16</v>
      </c>
      <c r="H15" s="1" t="s">
        <v>5</v>
      </c>
      <c r="I15" t="s">
        <v>15</v>
      </c>
      <c r="J15" t="s">
        <v>14</v>
      </c>
      <c r="K15" t="s">
        <v>2</v>
      </c>
      <c r="L15" t="s">
        <v>1</v>
      </c>
      <c r="M15" s="4" t="s">
        <v>25</v>
      </c>
      <c r="N15" s="1">
        <v>1</v>
      </c>
      <c r="O15" s="3">
        <v>1252</v>
      </c>
      <c r="P15" s="3">
        <v>2295</v>
      </c>
      <c r="Q15" s="3">
        <v>1043</v>
      </c>
      <c r="R15" s="3">
        <f t="shared" si="0"/>
        <v>1252</v>
      </c>
      <c r="S15" s="3">
        <f t="shared" si="1"/>
        <v>2295</v>
      </c>
    </row>
    <row r="16" spans="1:20" x14ac:dyDescent="0.25">
      <c r="A16" s="6" t="s">
        <v>122</v>
      </c>
      <c r="B16" s="5">
        <v>44536</v>
      </c>
      <c r="C16">
        <v>6</v>
      </c>
      <c r="D16" t="s">
        <v>7</v>
      </c>
      <c r="E16" s="1">
        <v>2021</v>
      </c>
      <c r="F16" s="1">
        <v>36</v>
      </c>
      <c r="G16" s="2" t="s">
        <v>6</v>
      </c>
      <c r="H16" s="1" t="s">
        <v>5</v>
      </c>
      <c r="I16" t="s">
        <v>4</v>
      </c>
      <c r="J16" t="s">
        <v>32</v>
      </c>
      <c r="K16" t="s">
        <v>2</v>
      </c>
      <c r="L16" t="s">
        <v>1</v>
      </c>
      <c r="M16" s="4" t="s">
        <v>0</v>
      </c>
      <c r="N16" s="1">
        <v>1</v>
      </c>
      <c r="O16" s="3">
        <v>1252</v>
      </c>
      <c r="P16" s="3">
        <v>2295</v>
      </c>
      <c r="Q16" s="3">
        <v>1043</v>
      </c>
      <c r="R16" s="3">
        <f t="shared" si="0"/>
        <v>1252</v>
      </c>
      <c r="S16" s="3">
        <f t="shared" si="1"/>
        <v>2295</v>
      </c>
    </row>
    <row r="17" spans="1:19" x14ac:dyDescent="0.25">
      <c r="A17" s="6" t="s">
        <v>121</v>
      </c>
      <c r="B17" s="5">
        <v>44536</v>
      </c>
      <c r="C17">
        <v>6</v>
      </c>
      <c r="D17" t="s">
        <v>7</v>
      </c>
      <c r="E17" s="1">
        <v>2021</v>
      </c>
      <c r="F17" s="1">
        <v>47</v>
      </c>
      <c r="G17" s="2" t="s">
        <v>6</v>
      </c>
      <c r="H17" s="1" t="s">
        <v>5</v>
      </c>
      <c r="I17" t="s">
        <v>40</v>
      </c>
      <c r="J17" t="s">
        <v>39</v>
      </c>
      <c r="K17" t="s">
        <v>2</v>
      </c>
      <c r="L17" t="s">
        <v>1</v>
      </c>
      <c r="M17" s="4" t="s">
        <v>21</v>
      </c>
      <c r="N17" s="1">
        <v>1</v>
      </c>
      <c r="O17" s="3">
        <v>1266</v>
      </c>
      <c r="P17" s="3">
        <v>2320</v>
      </c>
      <c r="Q17" s="3">
        <v>1054</v>
      </c>
      <c r="R17" s="3">
        <f t="shared" si="0"/>
        <v>1266</v>
      </c>
      <c r="S17" s="3">
        <f t="shared" si="1"/>
        <v>2320</v>
      </c>
    </row>
    <row r="18" spans="1:19" x14ac:dyDescent="0.25">
      <c r="A18" s="6" t="s">
        <v>120</v>
      </c>
      <c r="B18" s="5">
        <v>44537</v>
      </c>
      <c r="C18">
        <v>7</v>
      </c>
      <c r="D18" t="s">
        <v>7</v>
      </c>
      <c r="E18" s="1">
        <v>2021</v>
      </c>
      <c r="F18" s="1">
        <v>30</v>
      </c>
      <c r="G18" s="2" t="s">
        <v>16</v>
      </c>
      <c r="H18" s="1" t="s">
        <v>5</v>
      </c>
      <c r="I18" t="s">
        <v>11</v>
      </c>
      <c r="J18" t="s">
        <v>10</v>
      </c>
      <c r="K18" t="s">
        <v>2</v>
      </c>
      <c r="L18" t="s">
        <v>1</v>
      </c>
      <c r="M18" s="4" t="s">
        <v>102</v>
      </c>
      <c r="N18" s="1">
        <v>4</v>
      </c>
      <c r="O18" s="3">
        <v>420</v>
      </c>
      <c r="P18" s="3">
        <v>769</v>
      </c>
      <c r="Q18" s="3">
        <v>1396</v>
      </c>
      <c r="R18" s="3">
        <f t="shared" si="0"/>
        <v>1680</v>
      </c>
      <c r="S18" s="3">
        <f t="shared" si="1"/>
        <v>3076</v>
      </c>
    </row>
    <row r="19" spans="1:19" x14ac:dyDescent="0.25">
      <c r="A19" s="6" t="s">
        <v>119</v>
      </c>
      <c r="B19" s="5">
        <v>44537</v>
      </c>
      <c r="C19">
        <v>7</v>
      </c>
      <c r="D19" t="s">
        <v>7</v>
      </c>
      <c r="E19" s="1">
        <v>2021</v>
      </c>
      <c r="F19" s="1">
        <v>38</v>
      </c>
      <c r="G19" s="2" t="s">
        <v>6</v>
      </c>
      <c r="H19" s="1" t="s">
        <v>5</v>
      </c>
      <c r="I19" t="s">
        <v>11</v>
      </c>
      <c r="J19" t="s">
        <v>10</v>
      </c>
      <c r="K19" t="s">
        <v>2</v>
      </c>
      <c r="L19" t="s">
        <v>1</v>
      </c>
      <c r="M19" s="4" t="s">
        <v>18</v>
      </c>
      <c r="N19" s="1">
        <v>2</v>
      </c>
      <c r="O19" s="3">
        <v>1266</v>
      </c>
      <c r="P19" s="3">
        <v>2320</v>
      </c>
      <c r="Q19" s="3">
        <v>2108</v>
      </c>
      <c r="R19" s="3">
        <f t="shared" si="0"/>
        <v>2532</v>
      </c>
      <c r="S19" s="3">
        <f t="shared" si="1"/>
        <v>4640</v>
      </c>
    </row>
    <row r="20" spans="1:19" x14ac:dyDescent="0.25">
      <c r="A20" s="6" t="s">
        <v>118</v>
      </c>
      <c r="B20" s="5">
        <v>44538</v>
      </c>
      <c r="C20">
        <v>8</v>
      </c>
      <c r="D20" t="s">
        <v>7</v>
      </c>
      <c r="E20" s="1">
        <v>2021</v>
      </c>
      <c r="F20" s="1">
        <v>19</v>
      </c>
      <c r="G20" s="2" t="s">
        <v>33</v>
      </c>
      <c r="H20" s="1" t="s">
        <v>12</v>
      </c>
      <c r="I20" t="s">
        <v>4</v>
      </c>
      <c r="J20" t="s">
        <v>32</v>
      </c>
      <c r="K20" t="s">
        <v>2</v>
      </c>
      <c r="L20" t="s">
        <v>1</v>
      </c>
      <c r="M20" s="4" t="s">
        <v>31</v>
      </c>
      <c r="N20" s="1">
        <v>4</v>
      </c>
      <c r="O20" s="3">
        <v>308</v>
      </c>
      <c r="P20" s="3">
        <v>565</v>
      </c>
      <c r="Q20" s="3">
        <v>1028</v>
      </c>
      <c r="R20" s="3">
        <f t="shared" si="0"/>
        <v>1232</v>
      </c>
      <c r="S20" s="3">
        <f t="shared" si="1"/>
        <v>2260</v>
      </c>
    </row>
    <row r="21" spans="1:19" x14ac:dyDescent="0.25">
      <c r="A21" s="6" t="s">
        <v>117</v>
      </c>
      <c r="B21" s="5">
        <v>44538</v>
      </c>
      <c r="C21">
        <v>8</v>
      </c>
      <c r="D21" t="s">
        <v>7</v>
      </c>
      <c r="E21" s="1">
        <v>2021</v>
      </c>
      <c r="F21" s="1">
        <v>30</v>
      </c>
      <c r="G21" s="2" t="s">
        <v>16</v>
      </c>
      <c r="H21" s="1" t="s">
        <v>12</v>
      </c>
      <c r="I21" t="s">
        <v>15</v>
      </c>
      <c r="J21" t="s">
        <v>14</v>
      </c>
      <c r="K21" t="s">
        <v>2</v>
      </c>
      <c r="L21" t="s">
        <v>1</v>
      </c>
      <c r="M21" s="4" t="s">
        <v>21</v>
      </c>
      <c r="N21" s="1">
        <v>4</v>
      </c>
      <c r="O21" s="3">
        <v>1266</v>
      </c>
      <c r="P21" s="3">
        <v>2320</v>
      </c>
      <c r="Q21" s="3">
        <v>4216</v>
      </c>
      <c r="R21" s="3">
        <f t="shared" si="0"/>
        <v>5064</v>
      </c>
      <c r="S21" s="3">
        <f t="shared" si="1"/>
        <v>9280</v>
      </c>
    </row>
    <row r="22" spans="1:19" x14ac:dyDescent="0.25">
      <c r="A22" s="6" t="s">
        <v>116</v>
      </c>
      <c r="B22" s="5">
        <v>44538</v>
      </c>
      <c r="C22">
        <v>8</v>
      </c>
      <c r="D22" t="s">
        <v>7</v>
      </c>
      <c r="E22" s="1">
        <v>2021</v>
      </c>
      <c r="F22" s="1">
        <v>39</v>
      </c>
      <c r="G22" s="2" t="s">
        <v>6</v>
      </c>
      <c r="H22" s="1" t="s">
        <v>12</v>
      </c>
      <c r="I22" t="s">
        <v>11</v>
      </c>
      <c r="J22" t="s">
        <v>19</v>
      </c>
      <c r="K22" t="s">
        <v>2</v>
      </c>
      <c r="L22" t="s">
        <v>1</v>
      </c>
      <c r="M22" s="4" t="s">
        <v>9</v>
      </c>
      <c r="N22" s="1">
        <v>2</v>
      </c>
      <c r="O22" s="3">
        <v>1252</v>
      </c>
      <c r="P22" s="3">
        <v>2295</v>
      </c>
      <c r="Q22" s="3">
        <v>2086</v>
      </c>
      <c r="R22" s="3">
        <f t="shared" si="0"/>
        <v>2504</v>
      </c>
      <c r="S22" s="3">
        <f t="shared" si="1"/>
        <v>4590</v>
      </c>
    </row>
    <row r="23" spans="1:19" x14ac:dyDescent="0.25">
      <c r="A23" s="6" t="s">
        <v>115</v>
      </c>
      <c r="B23" s="5">
        <v>44538</v>
      </c>
      <c r="C23">
        <v>8</v>
      </c>
      <c r="D23" t="s">
        <v>7</v>
      </c>
      <c r="E23" s="1">
        <v>2021</v>
      </c>
      <c r="F23" s="1">
        <v>35</v>
      </c>
      <c r="G23" s="2" t="s">
        <v>6</v>
      </c>
      <c r="H23" s="1" t="s">
        <v>12</v>
      </c>
      <c r="I23" t="s">
        <v>11</v>
      </c>
      <c r="J23" t="s">
        <v>10</v>
      </c>
      <c r="K23" t="s">
        <v>2</v>
      </c>
      <c r="L23" t="s">
        <v>1</v>
      </c>
      <c r="M23" s="4" t="s">
        <v>9</v>
      </c>
      <c r="N23" s="1">
        <v>1</v>
      </c>
      <c r="O23" s="3">
        <v>295</v>
      </c>
      <c r="P23" s="3">
        <v>540</v>
      </c>
      <c r="Q23" s="3">
        <v>245</v>
      </c>
      <c r="R23" s="3">
        <f t="shared" si="0"/>
        <v>295</v>
      </c>
      <c r="S23" s="3">
        <f t="shared" si="1"/>
        <v>540</v>
      </c>
    </row>
    <row r="24" spans="1:19" x14ac:dyDescent="0.25">
      <c r="A24" s="6" t="s">
        <v>114</v>
      </c>
      <c r="B24" s="5">
        <v>44539</v>
      </c>
      <c r="C24">
        <v>9</v>
      </c>
      <c r="D24" t="s">
        <v>7</v>
      </c>
      <c r="E24" s="1">
        <v>2021</v>
      </c>
      <c r="F24" s="1">
        <v>33</v>
      </c>
      <c r="G24" s="2" t="s">
        <v>16</v>
      </c>
      <c r="H24" s="1" t="s">
        <v>12</v>
      </c>
      <c r="I24" t="s">
        <v>4</v>
      </c>
      <c r="J24" t="s">
        <v>44</v>
      </c>
      <c r="K24" t="s">
        <v>2</v>
      </c>
      <c r="L24" t="s">
        <v>1</v>
      </c>
      <c r="M24" s="4" t="s">
        <v>50</v>
      </c>
      <c r="N24" s="1">
        <v>2</v>
      </c>
      <c r="O24" s="3">
        <v>1898</v>
      </c>
      <c r="P24" s="3">
        <v>3375</v>
      </c>
      <c r="Q24" s="3">
        <v>2954</v>
      </c>
      <c r="R24" s="3">
        <f t="shared" si="0"/>
        <v>3796</v>
      </c>
      <c r="S24" s="3">
        <f t="shared" si="1"/>
        <v>6750</v>
      </c>
    </row>
    <row r="25" spans="1:19" x14ac:dyDescent="0.25">
      <c r="A25" s="6" t="s">
        <v>113</v>
      </c>
      <c r="B25" s="5">
        <v>44539</v>
      </c>
      <c r="C25">
        <v>9</v>
      </c>
      <c r="D25" t="s">
        <v>7</v>
      </c>
      <c r="E25" s="1">
        <v>2021</v>
      </c>
      <c r="F25" s="1">
        <v>41</v>
      </c>
      <c r="G25" s="2" t="s">
        <v>6</v>
      </c>
      <c r="H25" s="1" t="s">
        <v>12</v>
      </c>
      <c r="I25" t="s">
        <v>23</v>
      </c>
      <c r="J25" t="s">
        <v>112</v>
      </c>
      <c r="K25" t="s">
        <v>2</v>
      </c>
      <c r="L25" t="s">
        <v>1</v>
      </c>
      <c r="M25" s="4" t="s">
        <v>18</v>
      </c>
      <c r="N25" s="1">
        <v>1</v>
      </c>
      <c r="O25" s="3">
        <v>1266</v>
      </c>
      <c r="P25" s="3">
        <v>2320</v>
      </c>
      <c r="Q25" s="3">
        <v>1054</v>
      </c>
      <c r="R25" s="3">
        <f t="shared" si="0"/>
        <v>1266</v>
      </c>
      <c r="S25" s="3">
        <f t="shared" si="1"/>
        <v>2320</v>
      </c>
    </row>
    <row r="26" spans="1:19" x14ac:dyDescent="0.25">
      <c r="A26" s="6" t="s">
        <v>111</v>
      </c>
      <c r="B26" s="5">
        <v>44540</v>
      </c>
      <c r="C26">
        <v>10</v>
      </c>
      <c r="D26" t="s">
        <v>7</v>
      </c>
      <c r="E26" s="1">
        <v>2021</v>
      </c>
      <c r="F26" s="1">
        <v>34</v>
      </c>
      <c r="G26" s="2" t="s">
        <v>16</v>
      </c>
      <c r="H26" s="1" t="s">
        <v>12</v>
      </c>
      <c r="I26" t="s">
        <v>11</v>
      </c>
      <c r="J26" t="s">
        <v>10</v>
      </c>
      <c r="K26" t="s">
        <v>2</v>
      </c>
      <c r="L26" t="s">
        <v>1</v>
      </c>
      <c r="M26" s="4" t="s">
        <v>0</v>
      </c>
      <c r="N26" s="1">
        <v>2</v>
      </c>
      <c r="O26" s="3">
        <v>1252</v>
      </c>
      <c r="P26" s="3">
        <v>2295</v>
      </c>
      <c r="Q26" s="3">
        <v>2086</v>
      </c>
      <c r="R26" s="3">
        <f t="shared" si="0"/>
        <v>2504</v>
      </c>
      <c r="S26" s="3">
        <f t="shared" si="1"/>
        <v>4590</v>
      </c>
    </row>
    <row r="27" spans="1:19" x14ac:dyDescent="0.25">
      <c r="A27" s="6" t="s">
        <v>110</v>
      </c>
      <c r="B27" s="5">
        <v>44540</v>
      </c>
      <c r="C27">
        <v>10</v>
      </c>
      <c r="D27" t="s">
        <v>7</v>
      </c>
      <c r="E27" s="1">
        <v>2021</v>
      </c>
      <c r="F27" s="1">
        <v>40</v>
      </c>
      <c r="G27" s="2" t="s">
        <v>6</v>
      </c>
      <c r="H27" s="1" t="s">
        <v>5</v>
      </c>
      <c r="I27" t="s">
        <v>4</v>
      </c>
      <c r="J27" t="s">
        <v>32</v>
      </c>
      <c r="K27" t="s">
        <v>2</v>
      </c>
      <c r="L27" t="s">
        <v>1</v>
      </c>
      <c r="M27" s="4" t="s">
        <v>0</v>
      </c>
      <c r="N27" s="1">
        <v>2</v>
      </c>
      <c r="O27" s="3">
        <v>1252</v>
      </c>
      <c r="P27" s="3">
        <v>2295</v>
      </c>
      <c r="Q27" s="3">
        <v>2086</v>
      </c>
      <c r="R27" s="3">
        <f t="shared" si="0"/>
        <v>2504</v>
      </c>
      <c r="S27" s="3">
        <f t="shared" si="1"/>
        <v>4590</v>
      </c>
    </row>
    <row r="28" spans="1:19" x14ac:dyDescent="0.25">
      <c r="A28" s="6" t="s">
        <v>109</v>
      </c>
      <c r="B28" s="5">
        <v>44540</v>
      </c>
      <c r="C28">
        <v>10</v>
      </c>
      <c r="D28" t="s">
        <v>7</v>
      </c>
      <c r="E28" s="1">
        <v>2021</v>
      </c>
      <c r="F28" s="1">
        <v>26</v>
      </c>
      <c r="G28" s="2" t="s">
        <v>16</v>
      </c>
      <c r="H28" s="1" t="s">
        <v>5</v>
      </c>
      <c r="I28" t="s">
        <v>40</v>
      </c>
      <c r="J28" t="s">
        <v>39</v>
      </c>
      <c r="K28" t="s">
        <v>2</v>
      </c>
      <c r="L28" t="s">
        <v>1</v>
      </c>
      <c r="M28" s="4" t="s">
        <v>27</v>
      </c>
      <c r="N28" s="1">
        <v>1</v>
      </c>
      <c r="O28" s="3">
        <v>1252</v>
      </c>
      <c r="P28" s="3">
        <v>2295</v>
      </c>
      <c r="Q28" s="3">
        <v>1043</v>
      </c>
      <c r="R28" s="3">
        <f t="shared" si="0"/>
        <v>1252</v>
      </c>
      <c r="S28" s="3">
        <f t="shared" si="1"/>
        <v>2295</v>
      </c>
    </row>
    <row r="29" spans="1:19" x14ac:dyDescent="0.25">
      <c r="A29" s="6" t="s">
        <v>108</v>
      </c>
      <c r="B29" s="5">
        <v>44540</v>
      </c>
      <c r="C29">
        <v>10</v>
      </c>
      <c r="D29" t="s">
        <v>7</v>
      </c>
      <c r="E29" s="1">
        <v>2021</v>
      </c>
      <c r="F29" s="1">
        <v>34</v>
      </c>
      <c r="G29" s="2" t="s">
        <v>16</v>
      </c>
      <c r="H29" s="1" t="s">
        <v>5</v>
      </c>
      <c r="I29" t="s">
        <v>11</v>
      </c>
      <c r="J29" t="s">
        <v>10</v>
      </c>
      <c r="K29" t="s">
        <v>2</v>
      </c>
      <c r="L29" t="s">
        <v>1</v>
      </c>
      <c r="M29" s="4" t="s">
        <v>54</v>
      </c>
      <c r="N29" s="1">
        <v>1</v>
      </c>
      <c r="O29" s="3">
        <v>295</v>
      </c>
      <c r="P29" s="3">
        <v>540</v>
      </c>
      <c r="Q29" s="3">
        <v>245</v>
      </c>
      <c r="R29" s="3">
        <f t="shared" si="0"/>
        <v>295</v>
      </c>
      <c r="S29" s="3">
        <f t="shared" si="1"/>
        <v>540</v>
      </c>
    </row>
    <row r="30" spans="1:19" x14ac:dyDescent="0.25">
      <c r="A30" s="6" t="s">
        <v>107</v>
      </c>
      <c r="B30" s="5">
        <v>44540</v>
      </c>
      <c r="C30">
        <v>10</v>
      </c>
      <c r="D30" t="s">
        <v>7</v>
      </c>
      <c r="E30" s="1">
        <v>2021</v>
      </c>
      <c r="F30" s="1">
        <v>34</v>
      </c>
      <c r="G30" s="2" t="s">
        <v>16</v>
      </c>
      <c r="H30" s="1" t="s">
        <v>12</v>
      </c>
      <c r="I30" t="s">
        <v>11</v>
      </c>
      <c r="J30" t="s">
        <v>36</v>
      </c>
      <c r="K30" t="s">
        <v>2</v>
      </c>
      <c r="L30" t="s">
        <v>1</v>
      </c>
      <c r="M30" s="4" t="s">
        <v>106</v>
      </c>
      <c r="N30" s="1">
        <v>1</v>
      </c>
      <c r="O30" s="3">
        <v>1912</v>
      </c>
      <c r="P30" s="3">
        <v>3400</v>
      </c>
      <c r="Q30" s="3">
        <v>1488</v>
      </c>
      <c r="R30" s="3">
        <f t="shared" si="0"/>
        <v>1912</v>
      </c>
      <c r="S30" s="3">
        <f t="shared" si="1"/>
        <v>3400</v>
      </c>
    </row>
    <row r="31" spans="1:19" x14ac:dyDescent="0.25">
      <c r="A31" s="6" t="s">
        <v>105</v>
      </c>
      <c r="B31" s="5">
        <v>44540</v>
      </c>
      <c r="C31">
        <v>10</v>
      </c>
      <c r="D31" t="s">
        <v>7</v>
      </c>
      <c r="E31" s="1">
        <v>2021</v>
      </c>
      <c r="F31" s="1">
        <v>38</v>
      </c>
      <c r="G31" s="2" t="s">
        <v>6</v>
      </c>
      <c r="H31" s="1" t="s">
        <v>5</v>
      </c>
      <c r="I31" t="s">
        <v>4</v>
      </c>
      <c r="J31" t="s">
        <v>32</v>
      </c>
      <c r="K31" t="s">
        <v>2</v>
      </c>
      <c r="L31" t="s">
        <v>1</v>
      </c>
      <c r="M31" s="4" t="s">
        <v>27</v>
      </c>
      <c r="N31" s="1">
        <v>1</v>
      </c>
      <c r="O31" s="3">
        <v>1252</v>
      </c>
      <c r="P31" s="3">
        <v>2295</v>
      </c>
      <c r="Q31" s="3">
        <v>1043</v>
      </c>
      <c r="R31" s="3">
        <f t="shared" si="0"/>
        <v>1252</v>
      </c>
      <c r="S31" s="3">
        <f t="shared" si="1"/>
        <v>2295</v>
      </c>
    </row>
    <row r="32" spans="1:19" x14ac:dyDescent="0.25">
      <c r="A32" s="6" t="s">
        <v>104</v>
      </c>
      <c r="B32" s="5">
        <v>44541</v>
      </c>
      <c r="C32">
        <v>11</v>
      </c>
      <c r="D32" t="s">
        <v>7</v>
      </c>
      <c r="E32" s="1">
        <v>2021</v>
      </c>
      <c r="F32" s="1">
        <v>24</v>
      </c>
      <c r="G32" s="2" t="s">
        <v>33</v>
      </c>
      <c r="H32" s="1" t="s">
        <v>12</v>
      </c>
      <c r="I32" t="s">
        <v>29</v>
      </c>
      <c r="J32" t="s">
        <v>28</v>
      </c>
      <c r="K32" t="s">
        <v>2</v>
      </c>
      <c r="L32" t="s">
        <v>1</v>
      </c>
      <c r="M32" s="4" t="s">
        <v>27</v>
      </c>
      <c r="N32" s="1">
        <v>3</v>
      </c>
      <c r="O32" s="3">
        <v>1252</v>
      </c>
      <c r="P32" s="3">
        <v>2295</v>
      </c>
      <c r="Q32" s="3">
        <v>3129</v>
      </c>
      <c r="R32" s="3">
        <f t="shared" si="0"/>
        <v>3756</v>
      </c>
      <c r="S32" s="3">
        <f t="shared" si="1"/>
        <v>6885</v>
      </c>
    </row>
    <row r="33" spans="1:19" x14ac:dyDescent="0.25">
      <c r="A33" s="6" t="s">
        <v>103</v>
      </c>
      <c r="B33" s="5">
        <v>44541</v>
      </c>
      <c r="C33">
        <v>11</v>
      </c>
      <c r="D33" t="s">
        <v>7</v>
      </c>
      <c r="E33" s="1">
        <v>2021</v>
      </c>
      <c r="F33" s="1">
        <v>41</v>
      </c>
      <c r="G33" s="2" t="s">
        <v>6</v>
      </c>
      <c r="H33" s="1" t="s">
        <v>12</v>
      </c>
      <c r="I33" t="s">
        <v>4</v>
      </c>
      <c r="J33" t="s">
        <v>32</v>
      </c>
      <c r="K33" t="s">
        <v>2</v>
      </c>
      <c r="L33" t="s">
        <v>1</v>
      </c>
      <c r="M33" s="4" t="s">
        <v>102</v>
      </c>
      <c r="N33" s="1">
        <v>2</v>
      </c>
      <c r="O33" s="3">
        <v>420</v>
      </c>
      <c r="P33" s="3">
        <v>769</v>
      </c>
      <c r="Q33" s="3">
        <v>698</v>
      </c>
      <c r="R33" s="3">
        <f t="shared" si="0"/>
        <v>840</v>
      </c>
      <c r="S33" s="3">
        <f t="shared" si="1"/>
        <v>1538</v>
      </c>
    </row>
    <row r="34" spans="1:19" x14ac:dyDescent="0.25">
      <c r="A34" s="6" t="s">
        <v>101</v>
      </c>
      <c r="B34" s="5">
        <v>44541</v>
      </c>
      <c r="C34">
        <v>11</v>
      </c>
      <c r="D34" t="s">
        <v>7</v>
      </c>
      <c r="E34" s="1">
        <v>2021</v>
      </c>
      <c r="F34" s="1">
        <v>27</v>
      </c>
      <c r="G34" s="2" t="s">
        <v>16</v>
      </c>
      <c r="H34" s="1" t="s">
        <v>5</v>
      </c>
      <c r="I34" t="s">
        <v>15</v>
      </c>
      <c r="J34" t="s">
        <v>14</v>
      </c>
      <c r="K34" t="s">
        <v>2</v>
      </c>
      <c r="L34" t="s">
        <v>1</v>
      </c>
      <c r="M34" s="4" t="s">
        <v>25</v>
      </c>
      <c r="N34" s="1">
        <v>1</v>
      </c>
      <c r="O34" s="3">
        <v>1252</v>
      </c>
      <c r="P34" s="3">
        <v>2295</v>
      </c>
      <c r="Q34" s="3">
        <v>1043</v>
      </c>
      <c r="R34" s="3">
        <f t="shared" ref="R34:R65" si="2">N34*O34</f>
        <v>1252</v>
      </c>
      <c r="S34" s="3">
        <f t="shared" ref="S34:S65" si="3">N34*P34</f>
        <v>2295</v>
      </c>
    </row>
    <row r="35" spans="1:19" x14ac:dyDescent="0.25">
      <c r="A35" s="6" t="s">
        <v>100</v>
      </c>
      <c r="B35" s="5">
        <v>44541</v>
      </c>
      <c r="C35">
        <v>11</v>
      </c>
      <c r="D35" t="s">
        <v>7</v>
      </c>
      <c r="E35" s="1">
        <v>2021</v>
      </c>
      <c r="F35" s="1">
        <v>37</v>
      </c>
      <c r="G35" s="2" t="s">
        <v>6</v>
      </c>
      <c r="H35" s="1" t="s">
        <v>5</v>
      </c>
      <c r="I35" t="s">
        <v>11</v>
      </c>
      <c r="J35" t="s">
        <v>10</v>
      </c>
      <c r="K35" t="s">
        <v>2</v>
      </c>
      <c r="L35" t="s">
        <v>1</v>
      </c>
      <c r="M35" s="4" t="s">
        <v>38</v>
      </c>
      <c r="N35" s="1">
        <v>1</v>
      </c>
      <c r="O35" s="3">
        <v>420</v>
      </c>
      <c r="P35" s="3">
        <v>769</v>
      </c>
      <c r="Q35" s="3">
        <v>349</v>
      </c>
      <c r="R35" s="3">
        <f t="shared" si="2"/>
        <v>420</v>
      </c>
      <c r="S35" s="3">
        <f t="shared" si="3"/>
        <v>769</v>
      </c>
    </row>
    <row r="36" spans="1:19" x14ac:dyDescent="0.25">
      <c r="A36" s="6" t="s">
        <v>99</v>
      </c>
      <c r="B36" s="5">
        <v>44541</v>
      </c>
      <c r="C36">
        <v>11</v>
      </c>
      <c r="D36" t="s">
        <v>7</v>
      </c>
      <c r="E36" s="1">
        <v>2021</v>
      </c>
      <c r="F36" s="1">
        <v>38</v>
      </c>
      <c r="G36" s="2" t="s">
        <v>6</v>
      </c>
      <c r="H36" s="1" t="s">
        <v>12</v>
      </c>
      <c r="I36" t="s">
        <v>11</v>
      </c>
      <c r="J36" t="s">
        <v>10</v>
      </c>
      <c r="K36" t="s">
        <v>2</v>
      </c>
      <c r="L36" t="s">
        <v>1</v>
      </c>
      <c r="M36" s="4" t="s">
        <v>21</v>
      </c>
      <c r="N36" s="1">
        <v>1</v>
      </c>
      <c r="O36" s="3">
        <v>1266</v>
      </c>
      <c r="P36" s="3">
        <v>2320</v>
      </c>
      <c r="Q36" s="3">
        <v>1054</v>
      </c>
      <c r="R36" s="3">
        <f t="shared" si="2"/>
        <v>1266</v>
      </c>
      <c r="S36" s="3">
        <f t="shared" si="3"/>
        <v>2320</v>
      </c>
    </row>
    <row r="37" spans="1:19" x14ac:dyDescent="0.25">
      <c r="A37" s="6" t="s">
        <v>98</v>
      </c>
      <c r="B37" s="5">
        <v>44542</v>
      </c>
      <c r="C37">
        <v>12</v>
      </c>
      <c r="D37" t="s">
        <v>7</v>
      </c>
      <c r="E37" s="1">
        <v>2021</v>
      </c>
      <c r="F37" s="1">
        <v>36</v>
      </c>
      <c r="G37" s="2" t="s">
        <v>6</v>
      </c>
      <c r="H37" s="1" t="s">
        <v>12</v>
      </c>
      <c r="I37" t="s">
        <v>4</v>
      </c>
      <c r="J37" t="s">
        <v>32</v>
      </c>
      <c r="K37" t="s">
        <v>2</v>
      </c>
      <c r="L37" t="s">
        <v>1</v>
      </c>
      <c r="M37" s="4" t="s">
        <v>18</v>
      </c>
      <c r="N37" s="1">
        <v>4</v>
      </c>
      <c r="O37" s="3">
        <v>1266</v>
      </c>
      <c r="P37" s="3">
        <v>2320</v>
      </c>
      <c r="Q37" s="3">
        <v>4216</v>
      </c>
      <c r="R37" s="3">
        <f t="shared" si="2"/>
        <v>5064</v>
      </c>
      <c r="S37" s="3">
        <f t="shared" si="3"/>
        <v>9280</v>
      </c>
    </row>
    <row r="38" spans="1:19" x14ac:dyDescent="0.25">
      <c r="A38" s="6" t="s">
        <v>97</v>
      </c>
      <c r="B38" s="5">
        <v>44542</v>
      </c>
      <c r="C38">
        <v>12</v>
      </c>
      <c r="D38" t="s">
        <v>7</v>
      </c>
      <c r="E38" s="1">
        <v>2021</v>
      </c>
      <c r="F38" s="1">
        <v>37</v>
      </c>
      <c r="G38" s="2" t="s">
        <v>6</v>
      </c>
      <c r="H38" s="1" t="s">
        <v>5</v>
      </c>
      <c r="I38" t="s">
        <v>11</v>
      </c>
      <c r="J38" t="s">
        <v>10</v>
      </c>
      <c r="K38" t="s">
        <v>2</v>
      </c>
      <c r="L38" t="s">
        <v>1</v>
      </c>
      <c r="M38" s="4" t="s">
        <v>38</v>
      </c>
      <c r="N38" s="1">
        <v>4</v>
      </c>
      <c r="O38" s="3">
        <v>420</v>
      </c>
      <c r="P38" s="3">
        <v>769</v>
      </c>
      <c r="Q38" s="3">
        <v>1396</v>
      </c>
      <c r="R38" s="3">
        <f t="shared" si="2"/>
        <v>1680</v>
      </c>
      <c r="S38" s="3">
        <f t="shared" si="3"/>
        <v>3076</v>
      </c>
    </row>
    <row r="39" spans="1:19" x14ac:dyDescent="0.25">
      <c r="A39" s="6" t="s">
        <v>96</v>
      </c>
      <c r="B39" s="5">
        <v>44542</v>
      </c>
      <c r="C39">
        <v>12</v>
      </c>
      <c r="D39" t="s">
        <v>7</v>
      </c>
      <c r="E39" s="1">
        <v>2021</v>
      </c>
      <c r="F39" s="1">
        <v>34</v>
      </c>
      <c r="G39" s="2" t="s">
        <v>16</v>
      </c>
      <c r="H39" s="1" t="s">
        <v>5</v>
      </c>
      <c r="I39" t="s">
        <v>4</v>
      </c>
      <c r="J39" t="s">
        <v>32</v>
      </c>
      <c r="K39" t="s">
        <v>2</v>
      </c>
      <c r="L39" t="s">
        <v>1</v>
      </c>
      <c r="M39" s="4" t="s">
        <v>27</v>
      </c>
      <c r="N39" s="1">
        <v>2</v>
      </c>
      <c r="O39" s="3">
        <v>1252</v>
      </c>
      <c r="P39" s="3">
        <v>2295</v>
      </c>
      <c r="Q39" s="3">
        <v>2086</v>
      </c>
      <c r="R39" s="3">
        <f t="shared" si="2"/>
        <v>2504</v>
      </c>
      <c r="S39" s="3">
        <f t="shared" si="3"/>
        <v>4590</v>
      </c>
    </row>
    <row r="40" spans="1:19" x14ac:dyDescent="0.25">
      <c r="A40" s="6" t="s">
        <v>95</v>
      </c>
      <c r="B40" s="5">
        <v>44542</v>
      </c>
      <c r="C40">
        <v>12</v>
      </c>
      <c r="D40" t="s">
        <v>7</v>
      </c>
      <c r="E40" s="1">
        <v>2021</v>
      </c>
      <c r="F40" s="1">
        <v>35</v>
      </c>
      <c r="G40" s="2" t="s">
        <v>6</v>
      </c>
      <c r="H40" s="1" t="s">
        <v>12</v>
      </c>
      <c r="I40" t="s">
        <v>4</v>
      </c>
      <c r="J40" t="s">
        <v>44</v>
      </c>
      <c r="K40" t="s">
        <v>2</v>
      </c>
      <c r="L40" t="s">
        <v>1</v>
      </c>
      <c r="M40" s="4" t="s">
        <v>18</v>
      </c>
      <c r="N40" s="1">
        <v>1</v>
      </c>
      <c r="O40" s="3">
        <v>1266</v>
      </c>
      <c r="P40" s="3">
        <v>2320</v>
      </c>
      <c r="Q40" s="3">
        <v>1054</v>
      </c>
      <c r="R40" s="3">
        <f t="shared" si="2"/>
        <v>1266</v>
      </c>
      <c r="S40" s="3">
        <f t="shared" si="3"/>
        <v>2320</v>
      </c>
    </row>
    <row r="41" spans="1:19" x14ac:dyDescent="0.25">
      <c r="A41" s="6" t="s">
        <v>94</v>
      </c>
      <c r="B41" s="5">
        <v>44542</v>
      </c>
      <c r="C41">
        <v>12</v>
      </c>
      <c r="D41" t="s">
        <v>7</v>
      </c>
      <c r="E41" s="1">
        <v>2021</v>
      </c>
      <c r="F41" s="1">
        <v>38</v>
      </c>
      <c r="G41" s="2" t="s">
        <v>6</v>
      </c>
      <c r="H41" s="1" t="s">
        <v>12</v>
      </c>
      <c r="I41" t="s">
        <v>11</v>
      </c>
      <c r="J41" t="s">
        <v>36</v>
      </c>
      <c r="K41" t="s">
        <v>2</v>
      </c>
      <c r="L41" t="s">
        <v>1</v>
      </c>
      <c r="M41" s="4" t="s">
        <v>18</v>
      </c>
      <c r="N41" s="1">
        <v>1</v>
      </c>
      <c r="O41" s="3">
        <v>1266</v>
      </c>
      <c r="P41" s="3">
        <v>2320</v>
      </c>
      <c r="Q41" s="3">
        <v>1054</v>
      </c>
      <c r="R41" s="3">
        <f t="shared" si="2"/>
        <v>1266</v>
      </c>
      <c r="S41" s="3">
        <f t="shared" si="3"/>
        <v>2320</v>
      </c>
    </row>
    <row r="42" spans="1:19" x14ac:dyDescent="0.25">
      <c r="A42" s="6" t="s">
        <v>93</v>
      </c>
      <c r="B42" s="5">
        <v>44543</v>
      </c>
      <c r="C42">
        <v>13</v>
      </c>
      <c r="D42" t="s">
        <v>7</v>
      </c>
      <c r="E42" s="1">
        <v>2021</v>
      </c>
      <c r="F42" s="1">
        <v>32</v>
      </c>
      <c r="G42" s="2" t="s">
        <v>16</v>
      </c>
      <c r="H42" s="1" t="s">
        <v>12</v>
      </c>
      <c r="I42" t="s">
        <v>4</v>
      </c>
      <c r="J42" t="s">
        <v>3</v>
      </c>
      <c r="K42" t="s">
        <v>2</v>
      </c>
      <c r="L42" t="s">
        <v>1</v>
      </c>
      <c r="M42" s="4" t="s">
        <v>18</v>
      </c>
      <c r="N42" s="1">
        <v>3</v>
      </c>
      <c r="O42" s="3">
        <v>1266</v>
      </c>
      <c r="P42" s="3">
        <v>2320</v>
      </c>
      <c r="Q42" s="3">
        <v>3162</v>
      </c>
      <c r="R42" s="3">
        <f t="shared" si="2"/>
        <v>3798</v>
      </c>
      <c r="S42" s="3">
        <f t="shared" si="3"/>
        <v>6960</v>
      </c>
    </row>
    <row r="43" spans="1:19" x14ac:dyDescent="0.25">
      <c r="A43" s="6" t="s">
        <v>92</v>
      </c>
      <c r="B43" s="5">
        <v>44543</v>
      </c>
      <c r="C43">
        <v>13</v>
      </c>
      <c r="D43" t="s">
        <v>7</v>
      </c>
      <c r="E43" s="1">
        <v>2021</v>
      </c>
      <c r="F43" s="1">
        <v>40</v>
      </c>
      <c r="G43" s="2" t="s">
        <v>6</v>
      </c>
      <c r="H43" s="1" t="s">
        <v>12</v>
      </c>
      <c r="I43" t="s">
        <v>11</v>
      </c>
      <c r="J43" t="s">
        <v>10</v>
      </c>
      <c r="K43" t="s">
        <v>2</v>
      </c>
      <c r="L43" t="s">
        <v>1</v>
      </c>
      <c r="M43" s="4" t="s">
        <v>91</v>
      </c>
      <c r="N43" s="1">
        <v>1</v>
      </c>
      <c r="O43" s="3">
        <v>308</v>
      </c>
      <c r="P43" s="3">
        <v>565</v>
      </c>
      <c r="Q43" s="3">
        <v>257</v>
      </c>
      <c r="R43" s="3">
        <f t="shared" si="2"/>
        <v>308</v>
      </c>
      <c r="S43" s="3">
        <f t="shared" si="3"/>
        <v>565</v>
      </c>
    </row>
    <row r="44" spans="1:19" x14ac:dyDescent="0.25">
      <c r="A44" s="6" t="s">
        <v>90</v>
      </c>
      <c r="B44" s="5">
        <v>44543</v>
      </c>
      <c r="C44">
        <v>13</v>
      </c>
      <c r="D44" t="s">
        <v>7</v>
      </c>
      <c r="E44" s="1">
        <v>2021</v>
      </c>
      <c r="F44" s="1">
        <v>44</v>
      </c>
      <c r="G44" s="2" t="s">
        <v>6</v>
      </c>
      <c r="H44" s="1" t="s">
        <v>12</v>
      </c>
      <c r="I44" t="s">
        <v>40</v>
      </c>
      <c r="J44" t="s">
        <v>39</v>
      </c>
      <c r="K44" t="s">
        <v>2</v>
      </c>
      <c r="L44" t="s">
        <v>1</v>
      </c>
      <c r="M44" s="4" t="s">
        <v>27</v>
      </c>
      <c r="N44" s="1">
        <v>1</v>
      </c>
      <c r="O44" s="3">
        <v>1252</v>
      </c>
      <c r="P44" s="3">
        <v>2295</v>
      </c>
      <c r="Q44" s="3">
        <v>1043</v>
      </c>
      <c r="R44" s="3">
        <f t="shared" si="2"/>
        <v>1252</v>
      </c>
      <c r="S44" s="3">
        <f t="shared" si="3"/>
        <v>2295</v>
      </c>
    </row>
    <row r="45" spans="1:19" x14ac:dyDescent="0.25">
      <c r="A45" s="6" t="s">
        <v>89</v>
      </c>
      <c r="B45" s="5">
        <v>44543</v>
      </c>
      <c r="C45">
        <v>13</v>
      </c>
      <c r="D45" t="s">
        <v>7</v>
      </c>
      <c r="E45" s="1">
        <v>2021</v>
      </c>
      <c r="F45" s="1">
        <v>49</v>
      </c>
      <c r="G45" s="2" t="s">
        <v>6</v>
      </c>
      <c r="H45" s="1" t="s">
        <v>5</v>
      </c>
      <c r="I45" t="s">
        <v>40</v>
      </c>
      <c r="J45" t="s">
        <v>39</v>
      </c>
      <c r="K45" t="s">
        <v>2</v>
      </c>
      <c r="L45" t="s">
        <v>1</v>
      </c>
      <c r="M45" s="4" t="s">
        <v>27</v>
      </c>
      <c r="N45" s="1">
        <v>1</v>
      </c>
      <c r="O45" s="3">
        <v>1252</v>
      </c>
      <c r="P45" s="3">
        <v>2295</v>
      </c>
      <c r="Q45" s="3">
        <v>1043</v>
      </c>
      <c r="R45" s="3">
        <f t="shared" si="2"/>
        <v>1252</v>
      </c>
      <c r="S45" s="3">
        <f t="shared" si="3"/>
        <v>2295</v>
      </c>
    </row>
    <row r="46" spans="1:19" x14ac:dyDescent="0.25">
      <c r="A46" s="6" t="s">
        <v>88</v>
      </c>
      <c r="B46" s="5">
        <v>44544</v>
      </c>
      <c r="C46">
        <v>14</v>
      </c>
      <c r="D46" t="s">
        <v>7</v>
      </c>
      <c r="E46" s="1">
        <v>2021</v>
      </c>
      <c r="F46" s="1">
        <v>30</v>
      </c>
      <c r="G46" s="2" t="s">
        <v>16</v>
      </c>
      <c r="H46" s="1" t="s">
        <v>12</v>
      </c>
      <c r="I46" t="s">
        <v>11</v>
      </c>
      <c r="J46" t="s">
        <v>36</v>
      </c>
      <c r="K46" t="s">
        <v>2</v>
      </c>
      <c r="L46" t="s">
        <v>1</v>
      </c>
      <c r="M46" s="4" t="s">
        <v>21</v>
      </c>
      <c r="N46" s="1">
        <v>2</v>
      </c>
      <c r="O46" s="3">
        <v>1266</v>
      </c>
      <c r="P46" s="3">
        <v>2320</v>
      </c>
      <c r="Q46" s="3">
        <v>2108</v>
      </c>
      <c r="R46" s="3">
        <f t="shared" si="2"/>
        <v>2532</v>
      </c>
      <c r="S46" s="3">
        <f t="shared" si="3"/>
        <v>4640</v>
      </c>
    </row>
    <row r="47" spans="1:19" x14ac:dyDescent="0.25">
      <c r="A47" s="6" t="s">
        <v>87</v>
      </c>
      <c r="B47" s="5">
        <v>44544</v>
      </c>
      <c r="C47">
        <v>14</v>
      </c>
      <c r="D47" t="s">
        <v>7</v>
      </c>
      <c r="E47" s="1">
        <v>2021</v>
      </c>
      <c r="F47" s="1">
        <v>32</v>
      </c>
      <c r="G47" s="2" t="s">
        <v>16</v>
      </c>
      <c r="H47" s="1" t="s">
        <v>5</v>
      </c>
      <c r="I47" t="s">
        <v>11</v>
      </c>
      <c r="J47" t="s">
        <v>10</v>
      </c>
      <c r="K47" t="s">
        <v>2</v>
      </c>
      <c r="L47" t="s">
        <v>1</v>
      </c>
      <c r="M47" s="4" t="s">
        <v>25</v>
      </c>
      <c r="N47" s="1">
        <v>1</v>
      </c>
      <c r="O47" s="3">
        <v>1252</v>
      </c>
      <c r="P47" s="3">
        <v>2295</v>
      </c>
      <c r="Q47" s="3">
        <v>1043</v>
      </c>
      <c r="R47" s="3">
        <f t="shared" si="2"/>
        <v>1252</v>
      </c>
      <c r="S47" s="3">
        <f t="shared" si="3"/>
        <v>2295</v>
      </c>
    </row>
    <row r="48" spans="1:19" x14ac:dyDescent="0.25">
      <c r="A48" s="6" t="s">
        <v>86</v>
      </c>
      <c r="B48" s="5">
        <v>44544</v>
      </c>
      <c r="C48">
        <v>14</v>
      </c>
      <c r="D48" t="s">
        <v>7</v>
      </c>
      <c r="E48" s="1">
        <v>2021</v>
      </c>
      <c r="F48" s="1">
        <v>32</v>
      </c>
      <c r="G48" s="2" t="s">
        <v>16</v>
      </c>
      <c r="H48" s="1" t="s">
        <v>12</v>
      </c>
      <c r="I48" t="s">
        <v>4</v>
      </c>
      <c r="J48" t="s">
        <v>44</v>
      </c>
      <c r="K48" t="s">
        <v>2</v>
      </c>
      <c r="L48" t="s">
        <v>1</v>
      </c>
      <c r="M48" s="4" t="s">
        <v>38</v>
      </c>
      <c r="N48" s="1">
        <v>1</v>
      </c>
      <c r="O48" s="3">
        <v>420</v>
      </c>
      <c r="P48" s="3">
        <v>769</v>
      </c>
      <c r="Q48" s="3">
        <v>349</v>
      </c>
      <c r="R48" s="3">
        <f t="shared" si="2"/>
        <v>420</v>
      </c>
      <c r="S48" s="3">
        <f t="shared" si="3"/>
        <v>769</v>
      </c>
    </row>
    <row r="49" spans="1:19" x14ac:dyDescent="0.25">
      <c r="A49" s="6" t="s">
        <v>85</v>
      </c>
      <c r="B49" s="5">
        <v>44545</v>
      </c>
      <c r="C49">
        <v>15</v>
      </c>
      <c r="D49" t="s">
        <v>7</v>
      </c>
      <c r="E49" s="1">
        <v>2021</v>
      </c>
      <c r="F49" s="1">
        <v>29</v>
      </c>
      <c r="G49" s="2" t="s">
        <v>16</v>
      </c>
      <c r="H49" s="1" t="s">
        <v>12</v>
      </c>
      <c r="I49" t="s">
        <v>11</v>
      </c>
      <c r="J49" t="s">
        <v>10</v>
      </c>
      <c r="K49" t="s">
        <v>2</v>
      </c>
      <c r="L49" t="s">
        <v>1</v>
      </c>
      <c r="M49" s="4" t="s">
        <v>18</v>
      </c>
      <c r="N49" s="1">
        <v>1</v>
      </c>
      <c r="O49" s="3">
        <v>1266</v>
      </c>
      <c r="P49" s="3">
        <v>2320</v>
      </c>
      <c r="Q49" s="3">
        <v>1054</v>
      </c>
      <c r="R49" s="3">
        <f t="shared" si="2"/>
        <v>1266</v>
      </c>
      <c r="S49" s="3">
        <f t="shared" si="3"/>
        <v>2320</v>
      </c>
    </row>
    <row r="50" spans="1:19" x14ac:dyDescent="0.25">
      <c r="A50" s="6" t="s">
        <v>84</v>
      </c>
      <c r="B50" s="5">
        <v>44546</v>
      </c>
      <c r="C50">
        <v>16</v>
      </c>
      <c r="D50" t="s">
        <v>7</v>
      </c>
      <c r="E50" s="1">
        <v>2021</v>
      </c>
      <c r="F50" s="1">
        <v>33</v>
      </c>
      <c r="G50" s="2" t="s">
        <v>16</v>
      </c>
      <c r="H50" s="1" t="s">
        <v>12</v>
      </c>
      <c r="I50" t="s">
        <v>4</v>
      </c>
      <c r="J50" t="s">
        <v>32</v>
      </c>
      <c r="K50" t="s">
        <v>2</v>
      </c>
      <c r="L50" t="s">
        <v>1</v>
      </c>
      <c r="M50" s="4" t="s">
        <v>27</v>
      </c>
      <c r="N50" s="1">
        <v>2</v>
      </c>
      <c r="O50" s="3">
        <v>1252</v>
      </c>
      <c r="P50" s="3">
        <v>2295</v>
      </c>
      <c r="Q50" s="3">
        <v>2086</v>
      </c>
      <c r="R50" s="3">
        <f t="shared" si="2"/>
        <v>2504</v>
      </c>
      <c r="S50" s="3">
        <f t="shared" si="3"/>
        <v>4590</v>
      </c>
    </row>
    <row r="51" spans="1:19" x14ac:dyDescent="0.25">
      <c r="A51" s="6" t="s">
        <v>83</v>
      </c>
      <c r="B51" s="5">
        <v>44546</v>
      </c>
      <c r="C51">
        <v>16</v>
      </c>
      <c r="D51" t="s">
        <v>7</v>
      </c>
      <c r="E51" s="1">
        <v>2021</v>
      </c>
      <c r="F51" s="1">
        <v>38</v>
      </c>
      <c r="G51" s="2" t="s">
        <v>6</v>
      </c>
      <c r="H51" s="1" t="s">
        <v>5</v>
      </c>
      <c r="I51" t="s">
        <v>4</v>
      </c>
      <c r="J51" t="s">
        <v>32</v>
      </c>
      <c r="K51" t="s">
        <v>2</v>
      </c>
      <c r="L51" t="s">
        <v>1</v>
      </c>
      <c r="M51" s="4" t="s">
        <v>27</v>
      </c>
      <c r="N51" s="1">
        <v>2</v>
      </c>
      <c r="O51" s="3">
        <v>1252</v>
      </c>
      <c r="P51" s="3">
        <v>2295</v>
      </c>
      <c r="Q51" s="3">
        <v>2086</v>
      </c>
      <c r="R51" s="3">
        <f t="shared" si="2"/>
        <v>2504</v>
      </c>
      <c r="S51" s="3">
        <f t="shared" si="3"/>
        <v>4590</v>
      </c>
    </row>
    <row r="52" spans="1:19" x14ac:dyDescent="0.25">
      <c r="A52" s="6" t="s">
        <v>82</v>
      </c>
      <c r="B52" s="5">
        <v>44546</v>
      </c>
      <c r="C52">
        <v>16</v>
      </c>
      <c r="D52" t="s">
        <v>7</v>
      </c>
      <c r="E52" s="1">
        <v>2021</v>
      </c>
      <c r="F52" s="1">
        <v>27</v>
      </c>
      <c r="G52" s="2" t="s">
        <v>16</v>
      </c>
      <c r="H52" s="1" t="s">
        <v>12</v>
      </c>
      <c r="I52" t="s">
        <v>29</v>
      </c>
      <c r="J52" t="s">
        <v>81</v>
      </c>
      <c r="K52" t="s">
        <v>2</v>
      </c>
      <c r="L52" t="s">
        <v>1</v>
      </c>
      <c r="M52" s="4" t="s">
        <v>65</v>
      </c>
      <c r="N52" s="1">
        <v>1</v>
      </c>
      <c r="O52" s="3">
        <v>1266</v>
      </c>
      <c r="P52" s="3">
        <v>2320</v>
      </c>
      <c r="Q52" s="3">
        <v>1054</v>
      </c>
      <c r="R52" s="3">
        <f t="shared" si="2"/>
        <v>1266</v>
      </c>
      <c r="S52" s="3">
        <f t="shared" si="3"/>
        <v>2320</v>
      </c>
    </row>
    <row r="53" spans="1:19" x14ac:dyDescent="0.25">
      <c r="A53" s="6" t="s">
        <v>80</v>
      </c>
      <c r="B53" s="5">
        <v>44547</v>
      </c>
      <c r="C53">
        <v>17</v>
      </c>
      <c r="D53" t="s">
        <v>7</v>
      </c>
      <c r="E53" s="1">
        <v>2021</v>
      </c>
      <c r="F53" s="1">
        <v>37</v>
      </c>
      <c r="G53" s="2" t="s">
        <v>6</v>
      </c>
      <c r="H53" s="1" t="s">
        <v>12</v>
      </c>
      <c r="I53" t="s">
        <v>11</v>
      </c>
      <c r="J53" t="s">
        <v>36</v>
      </c>
      <c r="K53" t="s">
        <v>2</v>
      </c>
      <c r="L53" t="s">
        <v>1</v>
      </c>
      <c r="M53" s="4" t="s">
        <v>21</v>
      </c>
      <c r="N53" s="1">
        <v>2</v>
      </c>
      <c r="O53" s="3">
        <v>1266</v>
      </c>
      <c r="P53" s="3">
        <v>2320</v>
      </c>
      <c r="Q53" s="3">
        <v>2108</v>
      </c>
      <c r="R53" s="3">
        <f t="shared" si="2"/>
        <v>2532</v>
      </c>
      <c r="S53" s="3">
        <f t="shared" si="3"/>
        <v>4640</v>
      </c>
    </row>
    <row r="54" spans="1:19" x14ac:dyDescent="0.25">
      <c r="A54" s="6" t="s">
        <v>79</v>
      </c>
      <c r="B54" s="5">
        <v>44547</v>
      </c>
      <c r="C54">
        <v>17</v>
      </c>
      <c r="D54" t="s">
        <v>7</v>
      </c>
      <c r="E54" s="1">
        <v>2021</v>
      </c>
      <c r="F54" s="1">
        <v>31</v>
      </c>
      <c r="G54" s="2" t="s">
        <v>16</v>
      </c>
      <c r="H54" s="1" t="s">
        <v>5</v>
      </c>
      <c r="I54" t="s">
        <v>4</v>
      </c>
      <c r="J54" t="s">
        <v>32</v>
      </c>
      <c r="K54" t="s">
        <v>2</v>
      </c>
      <c r="L54" t="s">
        <v>1</v>
      </c>
      <c r="M54" s="4" t="s">
        <v>71</v>
      </c>
      <c r="N54" s="1">
        <v>1</v>
      </c>
      <c r="O54" s="3">
        <v>420</v>
      </c>
      <c r="P54" s="3">
        <v>769</v>
      </c>
      <c r="Q54" s="3">
        <v>349</v>
      </c>
      <c r="R54" s="3">
        <f t="shared" si="2"/>
        <v>420</v>
      </c>
      <c r="S54" s="3">
        <f t="shared" si="3"/>
        <v>769</v>
      </c>
    </row>
    <row r="55" spans="1:19" x14ac:dyDescent="0.25">
      <c r="A55" s="6" t="s">
        <v>78</v>
      </c>
      <c r="B55" s="5">
        <v>44547</v>
      </c>
      <c r="C55">
        <v>17</v>
      </c>
      <c r="D55" t="s">
        <v>7</v>
      </c>
      <c r="E55" s="1">
        <v>2021</v>
      </c>
      <c r="F55" s="1">
        <v>42</v>
      </c>
      <c r="G55" s="2" t="s">
        <v>6</v>
      </c>
      <c r="H55" s="1" t="s">
        <v>12</v>
      </c>
      <c r="I55" t="s">
        <v>23</v>
      </c>
      <c r="J55" t="s">
        <v>75</v>
      </c>
      <c r="K55" t="s">
        <v>2</v>
      </c>
      <c r="L55" t="s">
        <v>1</v>
      </c>
      <c r="M55" s="4" t="s">
        <v>65</v>
      </c>
      <c r="N55" s="1">
        <v>1</v>
      </c>
      <c r="O55" s="3">
        <v>1266</v>
      </c>
      <c r="P55" s="3">
        <v>2320</v>
      </c>
      <c r="Q55" s="3">
        <v>1054</v>
      </c>
      <c r="R55" s="3">
        <f t="shared" si="2"/>
        <v>1266</v>
      </c>
      <c r="S55" s="3">
        <f t="shared" si="3"/>
        <v>2320</v>
      </c>
    </row>
    <row r="56" spans="1:19" x14ac:dyDescent="0.25">
      <c r="A56" s="6" t="s">
        <v>77</v>
      </c>
      <c r="B56" s="5">
        <v>44548</v>
      </c>
      <c r="C56">
        <v>18</v>
      </c>
      <c r="D56" t="s">
        <v>7</v>
      </c>
      <c r="E56" s="1">
        <v>2021</v>
      </c>
      <c r="F56" s="1">
        <v>35</v>
      </c>
      <c r="G56" s="2" t="s">
        <v>6</v>
      </c>
      <c r="H56" s="1" t="s">
        <v>12</v>
      </c>
      <c r="I56" t="s">
        <v>4</v>
      </c>
      <c r="J56" t="s">
        <v>32</v>
      </c>
      <c r="K56" t="s">
        <v>2</v>
      </c>
      <c r="L56" t="s">
        <v>1</v>
      </c>
      <c r="M56" s="4" t="s">
        <v>31</v>
      </c>
      <c r="N56" s="1">
        <v>4</v>
      </c>
      <c r="O56" s="3">
        <v>308</v>
      </c>
      <c r="P56" s="3">
        <v>565</v>
      </c>
      <c r="Q56" s="3">
        <v>1028</v>
      </c>
      <c r="R56" s="3">
        <f t="shared" si="2"/>
        <v>1232</v>
      </c>
      <c r="S56" s="3">
        <f t="shared" si="3"/>
        <v>2260</v>
      </c>
    </row>
    <row r="57" spans="1:19" x14ac:dyDescent="0.25">
      <c r="A57" s="6" t="s">
        <v>76</v>
      </c>
      <c r="B57" s="5">
        <v>44548</v>
      </c>
      <c r="C57">
        <v>18</v>
      </c>
      <c r="D57" t="s">
        <v>7</v>
      </c>
      <c r="E57" s="1">
        <v>2021</v>
      </c>
      <c r="F57" s="1">
        <v>38</v>
      </c>
      <c r="G57" s="2" t="s">
        <v>6</v>
      </c>
      <c r="H57" s="1" t="s">
        <v>12</v>
      </c>
      <c r="I57" t="s">
        <v>23</v>
      </c>
      <c r="J57" t="s">
        <v>75</v>
      </c>
      <c r="K57" t="s">
        <v>2</v>
      </c>
      <c r="L57" t="s">
        <v>1</v>
      </c>
      <c r="M57" s="4" t="s">
        <v>65</v>
      </c>
      <c r="N57" s="1">
        <v>4</v>
      </c>
      <c r="O57" s="3">
        <v>1266</v>
      </c>
      <c r="P57" s="3">
        <v>2320</v>
      </c>
      <c r="Q57" s="3">
        <v>4216</v>
      </c>
      <c r="R57" s="3">
        <f t="shared" si="2"/>
        <v>5064</v>
      </c>
      <c r="S57" s="3">
        <f t="shared" si="3"/>
        <v>9280</v>
      </c>
    </row>
    <row r="58" spans="1:19" x14ac:dyDescent="0.25">
      <c r="A58" s="6" t="s">
        <v>74</v>
      </c>
      <c r="B58" s="5">
        <v>44548</v>
      </c>
      <c r="C58">
        <v>18</v>
      </c>
      <c r="D58" t="s">
        <v>7</v>
      </c>
      <c r="E58" s="1">
        <v>2021</v>
      </c>
      <c r="F58" s="1">
        <v>24</v>
      </c>
      <c r="G58" s="2" t="s">
        <v>33</v>
      </c>
      <c r="H58" s="1" t="s">
        <v>12</v>
      </c>
      <c r="I58" t="s">
        <v>29</v>
      </c>
      <c r="J58" t="s">
        <v>73</v>
      </c>
      <c r="K58" t="s">
        <v>2</v>
      </c>
      <c r="L58" t="s">
        <v>1</v>
      </c>
      <c r="M58" s="4" t="s">
        <v>21</v>
      </c>
      <c r="N58" s="1">
        <v>3</v>
      </c>
      <c r="O58" s="3">
        <v>1266</v>
      </c>
      <c r="P58" s="3">
        <v>2320</v>
      </c>
      <c r="Q58" s="3">
        <v>3162</v>
      </c>
      <c r="R58" s="3">
        <f t="shared" si="2"/>
        <v>3798</v>
      </c>
      <c r="S58" s="3">
        <f t="shared" si="3"/>
        <v>6960</v>
      </c>
    </row>
    <row r="59" spans="1:19" x14ac:dyDescent="0.25">
      <c r="A59" s="6" t="s">
        <v>72</v>
      </c>
      <c r="B59" s="5">
        <v>44548</v>
      </c>
      <c r="C59">
        <v>18</v>
      </c>
      <c r="D59" t="s">
        <v>7</v>
      </c>
      <c r="E59" s="1">
        <v>2021</v>
      </c>
      <c r="F59" s="1">
        <v>26</v>
      </c>
      <c r="G59" s="2" t="s">
        <v>16</v>
      </c>
      <c r="H59" s="1" t="s">
        <v>12</v>
      </c>
      <c r="I59" t="s">
        <v>40</v>
      </c>
      <c r="J59" t="s">
        <v>39</v>
      </c>
      <c r="K59" t="s">
        <v>2</v>
      </c>
      <c r="L59" t="s">
        <v>1</v>
      </c>
      <c r="M59" s="4" t="s">
        <v>71</v>
      </c>
      <c r="N59" s="1">
        <v>3</v>
      </c>
      <c r="O59" s="3">
        <v>420</v>
      </c>
      <c r="P59" s="3">
        <v>769</v>
      </c>
      <c r="Q59" s="3">
        <v>1047</v>
      </c>
      <c r="R59" s="3">
        <f t="shared" si="2"/>
        <v>1260</v>
      </c>
      <c r="S59" s="3">
        <f t="shared" si="3"/>
        <v>2307</v>
      </c>
    </row>
    <row r="60" spans="1:19" x14ac:dyDescent="0.25">
      <c r="A60" s="6" t="s">
        <v>70</v>
      </c>
      <c r="B60" s="5">
        <v>44548</v>
      </c>
      <c r="C60">
        <v>18</v>
      </c>
      <c r="D60" t="s">
        <v>7</v>
      </c>
      <c r="E60" s="1">
        <v>2021</v>
      </c>
      <c r="F60" s="1">
        <v>39</v>
      </c>
      <c r="G60" s="2" t="s">
        <v>6</v>
      </c>
      <c r="H60" s="1" t="s">
        <v>5</v>
      </c>
      <c r="I60" t="s">
        <v>11</v>
      </c>
      <c r="J60" t="s">
        <v>10</v>
      </c>
      <c r="K60" t="s">
        <v>2</v>
      </c>
      <c r="L60" t="s">
        <v>1</v>
      </c>
      <c r="M60" s="4" t="s">
        <v>0</v>
      </c>
      <c r="N60" s="1">
        <v>3</v>
      </c>
      <c r="O60" s="3">
        <v>1252</v>
      </c>
      <c r="P60" s="3">
        <v>2295</v>
      </c>
      <c r="Q60" s="3">
        <v>3129</v>
      </c>
      <c r="R60" s="3">
        <f t="shared" si="2"/>
        <v>3756</v>
      </c>
      <c r="S60" s="3">
        <f t="shared" si="3"/>
        <v>6885</v>
      </c>
    </row>
    <row r="61" spans="1:19" x14ac:dyDescent="0.25">
      <c r="A61" s="6" t="s">
        <v>69</v>
      </c>
      <c r="B61" s="5">
        <v>44548</v>
      </c>
      <c r="C61">
        <v>18</v>
      </c>
      <c r="D61" t="s">
        <v>7</v>
      </c>
      <c r="E61" s="1">
        <v>2021</v>
      </c>
      <c r="F61" s="1">
        <v>26</v>
      </c>
      <c r="G61" s="2" t="s">
        <v>16</v>
      </c>
      <c r="H61" s="1" t="s">
        <v>5</v>
      </c>
      <c r="I61" t="s">
        <v>29</v>
      </c>
      <c r="J61" t="s">
        <v>28</v>
      </c>
      <c r="K61" t="s">
        <v>2</v>
      </c>
      <c r="L61" t="s">
        <v>1</v>
      </c>
      <c r="M61" s="4" t="s">
        <v>25</v>
      </c>
      <c r="N61" s="1">
        <v>1</v>
      </c>
      <c r="O61" s="3">
        <v>1252</v>
      </c>
      <c r="P61" s="3">
        <v>2295</v>
      </c>
      <c r="Q61" s="3">
        <v>1043</v>
      </c>
      <c r="R61" s="3">
        <f t="shared" si="2"/>
        <v>1252</v>
      </c>
      <c r="S61" s="3">
        <f t="shared" si="3"/>
        <v>2295</v>
      </c>
    </row>
    <row r="62" spans="1:19" x14ac:dyDescent="0.25">
      <c r="A62" s="6" t="s">
        <v>68</v>
      </c>
      <c r="B62" s="5">
        <v>44548</v>
      </c>
      <c r="C62">
        <v>18</v>
      </c>
      <c r="D62" t="s">
        <v>7</v>
      </c>
      <c r="E62" s="1">
        <v>2021</v>
      </c>
      <c r="F62" s="1">
        <v>36</v>
      </c>
      <c r="G62" s="2" t="s">
        <v>6</v>
      </c>
      <c r="H62" s="1" t="s">
        <v>5</v>
      </c>
      <c r="I62" t="s">
        <v>11</v>
      </c>
      <c r="J62" t="s">
        <v>36</v>
      </c>
      <c r="K62" t="s">
        <v>2</v>
      </c>
      <c r="L62" t="s">
        <v>1</v>
      </c>
      <c r="M62" s="4" t="s">
        <v>21</v>
      </c>
      <c r="N62" s="1">
        <v>1</v>
      </c>
      <c r="O62" s="3">
        <v>1266</v>
      </c>
      <c r="P62" s="3">
        <v>2320</v>
      </c>
      <c r="Q62" s="3">
        <v>1054</v>
      </c>
      <c r="R62" s="3">
        <f t="shared" si="2"/>
        <v>1266</v>
      </c>
      <c r="S62" s="3">
        <f t="shared" si="3"/>
        <v>2320</v>
      </c>
    </row>
    <row r="63" spans="1:19" x14ac:dyDescent="0.25">
      <c r="A63" s="6" t="s">
        <v>67</v>
      </c>
      <c r="B63" s="5">
        <v>44549</v>
      </c>
      <c r="C63">
        <v>19</v>
      </c>
      <c r="D63" t="s">
        <v>7</v>
      </c>
      <c r="E63" s="1">
        <v>2021</v>
      </c>
      <c r="F63" s="1">
        <v>17</v>
      </c>
      <c r="G63" s="2" t="s">
        <v>33</v>
      </c>
      <c r="H63" s="1" t="s">
        <v>5</v>
      </c>
      <c r="I63" t="s">
        <v>29</v>
      </c>
      <c r="J63" t="s">
        <v>66</v>
      </c>
      <c r="K63" t="s">
        <v>2</v>
      </c>
      <c r="L63" t="s">
        <v>1</v>
      </c>
      <c r="M63" s="4" t="s">
        <v>65</v>
      </c>
      <c r="N63" s="1">
        <v>4</v>
      </c>
      <c r="O63" s="3">
        <v>1266</v>
      </c>
      <c r="P63" s="3">
        <v>2320</v>
      </c>
      <c r="Q63" s="3">
        <v>4216</v>
      </c>
      <c r="R63" s="3">
        <f t="shared" si="2"/>
        <v>5064</v>
      </c>
      <c r="S63" s="3">
        <f t="shared" si="3"/>
        <v>9280</v>
      </c>
    </row>
    <row r="64" spans="1:19" x14ac:dyDescent="0.25">
      <c r="A64" s="6" t="s">
        <v>64</v>
      </c>
      <c r="B64" s="5">
        <v>44549</v>
      </c>
      <c r="C64">
        <v>19</v>
      </c>
      <c r="D64" t="s">
        <v>7</v>
      </c>
      <c r="E64" s="1">
        <v>2021</v>
      </c>
      <c r="F64" s="1">
        <v>19</v>
      </c>
      <c r="G64" s="2" t="s">
        <v>33</v>
      </c>
      <c r="H64" s="1" t="s">
        <v>12</v>
      </c>
      <c r="I64" t="s">
        <v>4</v>
      </c>
      <c r="J64" t="s">
        <v>44</v>
      </c>
      <c r="K64" t="s">
        <v>2</v>
      </c>
      <c r="L64" t="s">
        <v>1</v>
      </c>
      <c r="M64" s="4" t="s">
        <v>63</v>
      </c>
      <c r="N64" s="1">
        <v>4</v>
      </c>
      <c r="O64" s="3">
        <v>295</v>
      </c>
      <c r="P64" s="3">
        <v>540</v>
      </c>
      <c r="Q64" s="3">
        <v>980</v>
      </c>
      <c r="R64" s="3">
        <f t="shared" si="2"/>
        <v>1180</v>
      </c>
      <c r="S64" s="3">
        <f t="shared" si="3"/>
        <v>2160</v>
      </c>
    </row>
    <row r="65" spans="1:19" x14ac:dyDescent="0.25">
      <c r="A65" s="6" t="s">
        <v>62</v>
      </c>
      <c r="B65" s="5">
        <v>44549</v>
      </c>
      <c r="C65">
        <v>19</v>
      </c>
      <c r="D65" t="s">
        <v>7</v>
      </c>
      <c r="E65" s="1">
        <v>2021</v>
      </c>
      <c r="F65" s="1">
        <v>25</v>
      </c>
      <c r="G65" s="2" t="s">
        <v>16</v>
      </c>
      <c r="H65" s="1" t="s">
        <v>5</v>
      </c>
      <c r="I65" t="s">
        <v>29</v>
      </c>
      <c r="J65" t="s">
        <v>28</v>
      </c>
      <c r="K65" t="s">
        <v>2</v>
      </c>
      <c r="L65" t="s">
        <v>1</v>
      </c>
      <c r="M65" s="4" t="s">
        <v>27</v>
      </c>
      <c r="N65" s="1">
        <v>4</v>
      </c>
      <c r="O65" s="3">
        <v>1252</v>
      </c>
      <c r="P65" s="3">
        <v>2295</v>
      </c>
      <c r="Q65" s="3">
        <v>4172</v>
      </c>
      <c r="R65" s="3">
        <f t="shared" si="2"/>
        <v>5008</v>
      </c>
      <c r="S65" s="3">
        <f t="shared" si="3"/>
        <v>9180</v>
      </c>
    </row>
    <row r="66" spans="1:19" x14ac:dyDescent="0.25">
      <c r="A66" s="6" t="s">
        <v>61</v>
      </c>
      <c r="B66" s="5">
        <v>44549</v>
      </c>
      <c r="C66">
        <v>19</v>
      </c>
      <c r="D66" t="s">
        <v>7</v>
      </c>
      <c r="E66" s="1">
        <v>2021</v>
      </c>
      <c r="F66" s="1">
        <v>35</v>
      </c>
      <c r="G66" s="2" t="s">
        <v>6</v>
      </c>
      <c r="H66" s="1" t="s">
        <v>12</v>
      </c>
      <c r="I66" t="s">
        <v>11</v>
      </c>
      <c r="J66" t="s">
        <v>19</v>
      </c>
      <c r="K66" t="s">
        <v>2</v>
      </c>
      <c r="L66" t="s">
        <v>1</v>
      </c>
      <c r="M66" s="4" t="s">
        <v>60</v>
      </c>
      <c r="N66" s="1">
        <v>4</v>
      </c>
      <c r="O66" s="3">
        <v>1898</v>
      </c>
      <c r="P66" s="3">
        <v>3375</v>
      </c>
      <c r="Q66" s="3">
        <v>5908</v>
      </c>
      <c r="R66" s="3">
        <f t="shared" ref="R66:R89" si="4">N66*O66</f>
        <v>7592</v>
      </c>
      <c r="S66" s="3">
        <f t="shared" ref="S66:S89" si="5">N66*P66</f>
        <v>13500</v>
      </c>
    </row>
    <row r="67" spans="1:19" x14ac:dyDescent="0.25">
      <c r="A67" s="6" t="s">
        <v>59</v>
      </c>
      <c r="B67" s="5">
        <v>44549</v>
      </c>
      <c r="C67">
        <v>19</v>
      </c>
      <c r="D67" t="s">
        <v>7</v>
      </c>
      <c r="E67" s="1">
        <v>2021</v>
      </c>
      <c r="F67" s="1">
        <v>37</v>
      </c>
      <c r="G67" s="2" t="s">
        <v>6</v>
      </c>
      <c r="H67" s="1" t="s">
        <v>5</v>
      </c>
      <c r="I67" t="s">
        <v>11</v>
      </c>
      <c r="J67" t="s">
        <v>19</v>
      </c>
      <c r="K67" t="s">
        <v>2</v>
      </c>
      <c r="L67" t="s">
        <v>1</v>
      </c>
      <c r="M67" s="4" t="s">
        <v>27</v>
      </c>
      <c r="N67" s="1">
        <v>4</v>
      </c>
      <c r="O67" s="3">
        <v>1252</v>
      </c>
      <c r="P67" s="3">
        <v>2295</v>
      </c>
      <c r="Q67" s="3">
        <v>4172</v>
      </c>
      <c r="R67" s="3">
        <f t="shared" si="4"/>
        <v>5008</v>
      </c>
      <c r="S67" s="3">
        <f t="shared" si="5"/>
        <v>9180</v>
      </c>
    </row>
    <row r="68" spans="1:19" x14ac:dyDescent="0.25">
      <c r="A68" s="6" t="s">
        <v>58</v>
      </c>
      <c r="B68" s="5">
        <v>44549</v>
      </c>
      <c r="C68">
        <v>19</v>
      </c>
      <c r="D68" t="s">
        <v>7</v>
      </c>
      <c r="E68" s="1">
        <v>2021</v>
      </c>
      <c r="F68" s="1">
        <v>39</v>
      </c>
      <c r="G68" s="2" t="s">
        <v>6</v>
      </c>
      <c r="H68" s="1" t="s">
        <v>12</v>
      </c>
      <c r="I68" t="s">
        <v>11</v>
      </c>
      <c r="J68" t="s">
        <v>10</v>
      </c>
      <c r="K68" t="s">
        <v>2</v>
      </c>
      <c r="L68" t="s">
        <v>1</v>
      </c>
      <c r="M68" s="4" t="s">
        <v>25</v>
      </c>
      <c r="N68" s="1">
        <v>4</v>
      </c>
      <c r="O68" s="3">
        <v>1252</v>
      </c>
      <c r="P68" s="3">
        <v>2295</v>
      </c>
      <c r="Q68" s="3">
        <v>4172</v>
      </c>
      <c r="R68" s="3">
        <f t="shared" si="4"/>
        <v>5008</v>
      </c>
      <c r="S68" s="3">
        <f t="shared" si="5"/>
        <v>9180</v>
      </c>
    </row>
    <row r="69" spans="1:19" x14ac:dyDescent="0.25">
      <c r="A69" s="6" t="s">
        <v>57</v>
      </c>
      <c r="B69" s="5">
        <v>44549</v>
      </c>
      <c r="C69">
        <v>19</v>
      </c>
      <c r="D69" t="s">
        <v>7</v>
      </c>
      <c r="E69" s="1">
        <v>2021</v>
      </c>
      <c r="F69" s="1">
        <v>63</v>
      </c>
      <c r="G69" s="2" t="s">
        <v>6</v>
      </c>
      <c r="H69" s="1" t="s">
        <v>12</v>
      </c>
      <c r="I69" t="s">
        <v>4</v>
      </c>
      <c r="J69" t="s">
        <v>3</v>
      </c>
      <c r="K69" t="s">
        <v>2</v>
      </c>
      <c r="L69" t="s">
        <v>1</v>
      </c>
      <c r="M69" s="4" t="s">
        <v>25</v>
      </c>
      <c r="N69" s="1">
        <v>4</v>
      </c>
      <c r="O69" s="3">
        <v>1252</v>
      </c>
      <c r="P69" s="3">
        <v>2295</v>
      </c>
      <c r="Q69" s="3">
        <v>4172</v>
      </c>
      <c r="R69" s="3">
        <f t="shared" si="4"/>
        <v>5008</v>
      </c>
      <c r="S69" s="3">
        <f t="shared" si="5"/>
        <v>9180</v>
      </c>
    </row>
    <row r="70" spans="1:19" x14ac:dyDescent="0.25">
      <c r="A70" s="6" t="s">
        <v>56</v>
      </c>
      <c r="B70" s="5">
        <v>44549</v>
      </c>
      <c r="C70">
        <v>19</v>
      </c>
      <c r="D70" t="s">
        <v>7</v>
      </c>
      <c r="E70" s="1">
        <v>2021</v>
      </c>
      <c r="F70" s="1">
        <v>18</v>
      </c>
      <c r="G70" s="2" t="s">
        <v>33</v>
      </c>
      <c r="H70" s="1" t="s">
        <v>5</v>
      </c>
      <c r="I70" t="s">
        <v>4</v>
      </c>
      <c r="J70" t="s">
        <v>55</v>
      </c>
      <c r="K70" t="s">
        <v>2</v>
      </c>
      <c r="L70" t="s">
        <v>1</v>
      </c>
      <c r="M70" s="4" t="s">
        <v>54</v>
      </c>
      <c r="N70" s="1">
        <v>2</v>
      </c>
      <c r="O70" s="3">
        <v>295</v>
      </c>
      <c r="P70" s="3">
        <v>540</v>
      </c>
      <c r="Q70" s="3">
        <v>490</v>
      </c>
      <c r="R70" s="3">
        <f t="shared" si="4"/>
        <v>590</v>
      </c>
      <c r="S70" s="3">
        <f t="shared" si="5"/>
        <v>1080</v>
      </c>
    </row>
    <row r="71" spans="1:19" x14ac:dyDescent="0.25">
      <c r="A71" s="6" t="s">
        <v>53</v>
      </c>
      <c r="B71" s="5">
        <v>44549</v>
      </c>
      <c r="C71">
        <v>19</v>
      </c>
      <c r="D71" t="s">
        <v>7</v>
      </c>
      <c r="E71" s="1">
        <v>2021</v>
      </c>
      <c r="F71" s="1">
        <v>56</v>
      </c>
      <c r="G71" s="2" t="s">
        <v>6</v>
      </c>
      <c r="H71" s="1" t="s">
        <v>12</v>
      </c>
      <c r="I71" t="s">
        <v>23</v>
      </c>
      <c r="J71" t="s">
        <v>22</v>
      </c>
      <c r="K71" t="s">
        <v>2</v>
      </c>
      <c r="L71" t="s">
        <v>1</v>
      </c>
      <c r="M71" s="4" t="s">
        <v>25</v>
      </c>
      <c r="N71" s="1">
        <v>2</v>
      </c>
      <c r="O71" s="3">
        <v>1252</v>
      </c>
      <c r="P71" s="3">
        <v>2295</v>
      </c>
      <c r="Q71" s="3">
        <v>2086</v>
      </c>
      <c r="R71" s="3">
        <f t="shared" si="4"/>
        <v>2504</v>
      </c>
      <c r="S71" s="3">
        <f t="shared" si="5"/>
        <v>4590</v>
      </c>
    </row>
    <row r="72" spans="1:19" x14ac:dyDescent="0.25">
      <c r="A72" s="6" t="s">
        <v>52</v>
      </c>
      <c r="B72" s="5">
        <v>44549</v>
      </c>
      <c r="C72">
        <v>19</v>
      </c>
      <c r="D72" t="s">
        <v>7</v>
      </c>
      <c r="E72" s="1">
        <v>2021</v>
      </c>
      <c r="F72" s="1">
        <v>39</v>
      </c>
      <c r="G72" s="2" t="s">
        <v>6</v>
      </c>
      <c r="H72" s="1" t="s">
        <v>12</v>
      </c>
      <c r="I72" t="s">
        <v>11</v>
      </c>
      <c r="J72" t="s">
        <v>36</v>
      </c>
      <c r="K72" t="s">
        <v>2</v>
      </c>
      <c r="L72" t="s">
        <v>1</v>
      </c>
      <c r="M72" s="4" t="s">
        <v>21</v>
      </c>
      <c r="N72" s="1">
        <v>1</v>
      </c>
      <c r="O72" s="3">
        <v>1266</v>
      </c>
      <c r="P72" s="3">
        <v>2320</v>
      </c>
      <c r="Q72" s="3">
        <v>1054</v>
      </c>
      <c r="R72" s="3">
        <f t="shared" si="4"/>
        <v>1266</v>
      </c>
      <c r="S72" s="3">
        <f t="shared" si="5"/>
        <v>2320</v>
      </c>
    </row>
    <row r="73" spans="1:19" x14ac:dyDescent="0.25">
      <c r="A73" s="6" t="s">
        <v>51</v>
      </c>
      <c r="B73" s="5">
        <v>44550</v>
      </c>
      <c r="C73">
        <v>20</v>
      </c>
      <c r="D73" t="s">
        <v>7</v>
      </c>
      <c r="E73" s="1">
        <v>2021</v>
      </c>
      <c r="F73" s="1">
        <v>33</v>
      </c>
      <c r="G73" s="2" t="s">
        <v>16</v>
      </c>
      <c r="H73" s="1" t="s">
        <v>12</v>
      </c>
      <c r="I73" t="s">
        <v>4</v>
      </c>
      <c r="J73" t="s">
        <v>44</v>
      </c>
      <c r="K73" t="s">
        <v>2</v>
      </c>
      <c r="L73" t="s">
        <v>1</v>
      </c>
      <c r="M73" s="4" t="s">
        <v>50</v>
      </c>
      <c r="N73" s="1">
        <v>4</v>
      </c>
      <c r="O73" s="3">
        <v>1898</v>
      </c>
      <c r="P73" s="3">
        <v>3375</v>
      </c>
      <c r="Q73" s="3">
        <v>5908</v>
      </c>
      <c r="R73" s="3">
        <f t="shared" si="4"/>
        <v>7592</v>
      </c>
      <c r="S73" s="3">
        <f t="shared" si="5"/>
        <v>13500</v>
      </c>
    </row>
    <row r="74" spans="1:19" x14ac:dyDescent="0.25">
      <c r="A74" s="6" t="s">
        <v>49</v>
      </c>
      <c r="B74" s="5">
        <v>44550</v>
      </c>
      <c r="C74">
        <v>20</v>
      </c>
      <c r="D74" t="s">
        <v>7</v>
      </c>
      <c r="E74" s="1">
        <v>2021</v>
      </c>
      <c r="F74" s="1">
        <v>57</v>
      </c>
      <c r="G74" s="2" t="s">
        <v>6</v>
      </c>
      <c r="H74" s="1" t="s">
        <v>5</v>
      </c>
      <c r="I74" t="s">
        <v>4</v>
      </c>
      <c r="J74" t="s">
        <v>3</v>
      </c>
      <c r="K74" t="s">
        <v>2</v>
      </c>
      <c r="L74" t="s">
        <v>1</v>
      </c>
      <c r="M74" s="4" t="s">
        <v>25</v>
      </c>
      <c r="N74" s="1">
        <v>4</v>
      </c>
      <c r="O74" s="3">
        <v>1252</v>
      </c>
      <c r="P74" s="3">
        <v>2295</v>
      </c>
      <c r="Q74" s="3">
        <v>4172</v>
      </c>
      <c r="R74" s="3">
        <f t="shared" si="4"/>
        <v>5008</v>
      </c>
      <c r="S74" s="3">
        <f t="shared" si="5"/>
        <v>9180</v>
      </c>
    </row>
    <row r="75" spans="1:19" x14ac:dyDescent="0.25">
      <c r="A75" s="6" t="s">
        <v>48</v>
      </c>
      <c r="B75" s="5">
        <v>44550</v>
      </c>
      <c r="C75">
        <v>20</v>
      </c>
      <c r="D75" t="s">
        <v>7</v>
      </c>
      <c r="E75" s="1">
        <v>2021</v>
      </c>
      <c r="F75" s="1">
        <v>29</v>
      </c>
      <c r="G75" s="2" t="s">
        <v>16</v>
      </c>
      <c r="H75" s="1" t="s">
        <v>5</v>
      </c>
      <c r="I75" t="s">
        <v>15</v>
      </c>
      <c r="J75" t="s">
        <v>14</v>
      </c>
      <c r="K75" t="s">
        <v>2</v>
      </c>
      <c r="L75" t="s">
        <v>1</v>
      </c>
      <c r="M75" s="4" t="s">
        <v>47</v>
      </c>
      <c r="N75" s="1">
        <v>3</v>
      </c>
      <c r="O75" s="3">
        <v>295</v>
      </c>
      <c r="P75" s="3">
        <v>540</v>
      </c>
      <c r="Q75" s="3">
        <v>735</v>
      </c>
      <c r="R75" s="3">
        <f t="shared" si="4"/>
        <v>885</v>
      </c>
      <c r="S75" s="3">
        <f t="shared" si="5"/>
        <v>1620</v>
      </c>
    </row>
    <row r="76" spans="1:19" x14ac:dyDescent="0.25">
      <c r="A76" s="6" t="s">
        <v>46</v>
      </c>
      <c r="B76" s="5">
        <v>44550</v>
      </c>
      <c r="C76">
        <v>20</v>
      </c>
      <c r="D76" t="s">
        <v>7</v>
      </c>
      <c r="E76" s="1">
        <v>2021</v>
      </c>
      <c r="F76" s="1">
        <v>35</v>
      </c>
      <c r="G76" s="2" t="s">
        <v>6</v>
      </c>
      <c r="H76" s="1" t="s">
        <v>12</v>
      </c>
      <c r="I76" t="s">
        <v>4</v>
      </c>
      <c r="J76" t="s">
        <v>3</v>
      </c>
      <c r="K76" t="s">
        <v>2</v>
      </c>
      <c r="L76" t="s">
        <v>1</v>
      </c>
      <c r="M76" s="4" t="s">
        <v>21</v>
      </c>
      <c r="N76" s="1">
        <v>1</v>
      </c>
      <c r="O76" s="3">
        <v>1266</v>
      </c>
      <c r="P76" s="3">
        <v>2320</v>
      </c>
      <c r="Q76" s="3">
        <v>1054</v>
      </c>
      <c r="R76" s="3">
        <f t="shared" si="4"/>
        <v>1266</v>
      </c>
      <c r="S76" s="3">
        <f t="shared" si="5"/>
        <v>2320</v>
      </c>
    </row>
    <row r="77" spans="1:19" x14ac:dyDescent="0.25">
      <c r="A77" s="6" t="s">
        <v>45</v>
      </c>
      <c r="B77" s="5">
        <v>44550</v>
      </c>
      <c r="C77">
        <v>20</v>
      </c>
      <c r="D77" t="s">
        <v>7</v>
      </c>
      <c r="E77" s="1">
        <v>2021</v>
      </c>
      <c r="F77" s="1">
        <v>35</v>
      </c>
      <c r="G77" s="2" t="s">
        <v>6</v>
      </c>
      <c r="H77" s="1" t="s">
        <v>5</v>
      </c>
      <c r="I77" t="s">
        <v>4</v>
      </c>
      <c r="J77" t="s">
        <v>44</v>
      </c>
      <c r="K77" t="s">
        <v>2</v>
      </c>
      <c r="L77" t="s">
        <v>1</v>
      </c>
      <c r="M77" s="4" t="s">
        <v>21</v>
      </c>
      <c r="N77" s="1">
        <v>1</v>
      </c>
      <c r="O77" s="3">
        <v>1266</v>
      </c>
      <c r="P77" s="3">
        <v>2320</v>
      </c>
      <c r="Q77" s="3">
        <v>1054</v>
      </c>
      <c r="R77" s="3">
        <f t="shared" si="4"/>
        <v>1266</v>
      </c>
      <c r="S77" s="3">
        <f t="shared" si="5"/>
        <v>2320</v>
      </c>
    </row>
    <row r="78" spans="1:19" x14ac:dyDescent="0.25">
      <c r="A78" s="6" t="s">
        <v>43</v>
      </c>
      <c r="B78" s="5">
        <v>44551</v>
      </c>
      <c r="C78">
        <v>21</v>
      </c>
      <c r="D78" t="s">
        <v>7</v>
      </c>
      <c r="E78" s="1">
        <v>2021</v>
      </c>
      <c r="F78" s="1">
        <v>26</v>
      </c>
      <c r="G78" s="2" t="s">
        <v>16</v>
      </c>
      <c r="H78" s="1" t="s">
        <v>5</v>
      </c>
      <c r="I78" t="s">
        <v>29</v>
      </c>
      <c r="J78" t="s">
        <v>42</v>
      </c>
      <c r="K78" t="s">
        <v>2</v>
      </c>
      <c r="L78" t="s">
        <v>1</v>
      </c>
      <c r="M78" s="4" t="s">
        <v>21</v>
      </c>
      <c r="N78" s="1">
        <v>3</v>
      </c>
      <c r="O78" s="3">
        <v>1266</v>
      </c>
      <c r="P78" s="3">
        <v>2320</v>
      </c>
      <c r="Q78" s="3">
        <v>3162</v>
      </c>
      <c r="R78" s="3">
        <f t="shared" si="4"/>
        <v>3798</v>
      </c>
      <c r="S78" s="3">
        <f t="shared" si="5"/>
        <v>6960</v>
      </c>
    </row>
    <row r="79" spans="1:19" x14ac:dyDescent="0.25">
      <c r="A79" s="6" t="s">
        <v>41</v>
      </c>
      <c r="B79" s="5">
        <v>44551</v>
      </c>
      <c r="C79">
        <v>21</v>
      </c>
      <c r="D79" t="s">
        <v>7</v>
      </c>
      <c r="E79" s="1">
        <v>2021</v>
      </c>
      <c r="F79" s="1">
        <v>23</v>
      </c>
      <c r="G79" s="2" t="s">
        <v>33</v>
      </c>
      <c r="H79" s="1" t="s">
        <v>5</v>
      </c>
      <c r="I79" t="s">
        <v>40</v>
      </c>
      <c r="J79" t="s">
        <v>39</v>
      </c>
      <c r="K79" t="s">
        <v>2</v>
      </c>
      <c r="L79" t="s">
        <v>1</v>
      </c>
      <c r="M79" s="4" t="s">
        <v>38</v>
      </c>
      <c r="N79" s="1">
        <v>2</v>
      </c>
      <c r="O79" s="3">
        <v>420</v>
      </c>
      <c r="P79" s="3">
        <v>769</v>
      </c>
      <c r="Q79" s="3">
        <v>698</v>
      </c>
      <c r="R79" s="3">
        <f t="shared" si="4"/>
        <v>840</v>
      </c>
      <c r="S79" s="3">
        <f t="shared" si="5"/>
        <v>1538</v>
      </c>
    </row>
    <row r="80" spans="1:19" x14ac:dyDescent="0.25">
      <c r="A80" s="6" t="s">
        <v>37</v>
      </c>
      <c r="B80" s="5">
        <v>44552</v>
      </c>
      <c r="C80">
        <v>22</v>
      </c>
      <c r="D80" t="s">
        <v>7</v>
      </c>
      <c r="E80" s="1">
        <v>2021</v>
      </c>
      <c r="F80" s="1">
        <v>30</v>
      </c>
      <c r="G80" s="2" t="s">
        <v>16</v>
      </c>
      <c r="H80" s="1" t="s">
        <v>12</v>
      </c>
      <c r="I80" t="s">
        <v>11</v>
      </c>
      <c r="J80" t="s">
        <v>36</v>
      </c>
      <c r="K80" t="s">
        <v>2</v>
      </c>
      <c r="L80" t="s">
        <v>1</v>
      </c>
      <c r="M80" s="4" t="s">
        <v>21</v>
      </c>
      <c r="N80" s="1">
        <v>3</v>
      </c>
      <c r="O80" s="3">
        <v>1266</v>
      </c>
      <c r="P80" s="3">
        <v>2320</v>
      </c>
      <c r="Q80" s="3">
        <v>3162</v>
      </c>
      <c r="R80" s="3">
        <f t="shared" si="4"/>
        <v>3798</v>
      </c>
      <c r="S80" s="3">
        <f t="shared" si="5"/>
        <v>6960</v>
      </c>
    </row>
    <row r="81" spans="1:19" x14ac:dyDescent="0.25">
      <c r="A81" s="6" t="s">
        <v>35</v>
      </c>
      <c r="B81" s="5">
        <v>44552</v>
      </c>
      <c r="C81">
        <v>22</v>
      </c>
      <c r="D81" t="s">
        <v>7</v>
      </c>
      <c r="E81" s="1">
        <v>2021</v>
      </c>
      <c r="F81" s="1">
        <v>41</v>
      </c>
      <c r="G81" s="2" t="s">
        <v>6</v>
      </c>
      <c r="H81" s="1" t="s">
        <v>5</v>
      </c>
      <c r="I81" t="s">
        <v>11</v>
      </c>
      <c r="J81" t="s">
        <v>10</v>
      </c>
      <c r="K81" t="s">
        <v>2</v>
      </c>
      <c r="L81" t="s">
        <v>1</v>
      </c>
      <c r="M81" s="4" t="s">
        <v>0</v>
      </c>
      <c r="N81" s="1">
        <v>3</v>
      </c>
      <c r="O81" s="3">
        <v>1252</v>
      </c>
      <c r="P81" s="3">
        <v>2295</v>
      </c>
      <c r="Q81" s="3">
        <v>3129</v>
      </c>
      <c r="R81" s="3">
        <f t="shared" si="4"/>
        <v>3756</v>
      </c>
      <c r="S81" s="3">
        <f t="shared" si="5"/>
        <v>6885</v>
      </c>
    </row>
    <row r="82" spans="1:19" x14ac:dyDescent="0.25">
      <c r="A82" s="6" t="s">
        <v>34</v>
      </c>
      <c r="B82" s="5">
        <v>44552</v>
      </c>
      <c r="C82">
        <v>22</v>
      </c>
      <c r="D82" t="s">
        <v>7</v>
      </c>
      <c r="E82" s="1">
        <v>2021</v>
      </c>
      <c r="F82" s="1">
        <v>19</v>
      </c>
      <c r="G82" s="2" t="s">
        <v>33</v>
      </c>
      <c r="H82" s="1" t="s">
        <v>12</v>
      </c>
      <c r="I82" t="s">
        <v>4</v>
      </c>
      <c r="J82" t="s">
        <v>32</v>
      </c>
      <c r="K82" t="s">
        <v>2</v>
      </c>
      <c r="L82" t="s">
        <v>1</v>
      </c>
      <c r="M82" s="4" t="s">
        <v>31</v>
      </c>
      <c r="N82" s="1">
        <v>1</v>
      </c>
      <c r="O82" s="3">
        <v>308</v>
      </c>
      <c r="P82" s="3">
        <v>565</v>
      </c>
      <c r="Q82" s="3">
        <v>257</v>
      </c>
      <c r="R82" s="3">
        <f t="shared" si="4"/>
        <v>308</v>
      </c>
      <c r="S82" s="3">
        <f t="shared" si="5"/>
        <v>565</v>
      </c>
    </row>
    <row r="83" spans="1:19" x14ac:dyDescent="0.25">
      <c r="A83" s="6" t="s">
        <v>30</v>
      </c>
      <c r="B83" s="5">
        <v>44552</v>
      </c>
      <c r="C83">
        <v>22</v>
      </c>
      <c r="D83" t="s">
        <v>7</v>
      </c>
      <c r="E83" s="1">
        <v>2021</v>
      </c>
      <c r="F83" s="1">
        <v>25</v>
      </c>
      <c r="G83" s="2" t="s">
        <v>16</v>
      </c>
      <c r="H83" s="1" t="s">
        <v>5</v>
      </c>
      <c r="I83" t="s">
        <v>29</v>
      </c>
      <c r="J83" t="s">
        <v>28</v>
      </c>
      <c r="K83" t="s">
        <v>2</v>
      </c>
      <c r="L83" t="s">
        <v>1</v>
      </c>
      <c r="M83" s="4" t="s">
        <v>27</v>
      </c>
      <c r="N83" s="1">
        <v>1</v>
      </c>
      <c r="O83" s="3">
        <v>1252</v>
      </c>
      <c r="P83" s="3">
        <v>2295</v>
      </c>
      <c r="Q83" s="3">
        <v>1043</v>
      </c>
      <c r="R83" s="3">
        <f t="shared" si="4"/>
        <v>1252</v>
      </c>
      <c r="S83" s="3">
        <f t="shared" si="5"/>
        <v>2295</v>
      </c>
    </row>
    <row r="84" spans="1:19" x14ac:dyDescent="0.25">
      <c r="A84" s="6" t="s">
        <v>26</v>
      </c>
      <c r="B84" s="5">
        <v>44552</v>
      </c>
      <c r="C84">
        <v>22</v>
      </c>
      <c r="D84" t="s">
        <v>7</v>
      </c>
      <c r="E84" s="1">
        <v>2021</v>
      </c>
      <c r="F84" s="1">
        <v>27</v>
      </c>
      <c r="G84" s="2" t="s">
        <v>16</v>
      </c>
      <c r="H84" s="1" t="s">
        <v>12</v>
      </c>
      <c r="I84" t="s">
        <v>15</v>
      </c>
      <c r="J84" t="s">
        <v>14</v>
      </c>
      <c r="K84" t="s">
        <v>2</v>
      </c>
      <c r="L84" t="s">
        <v>1</v>
      </c>
      <c r="M84" s="4" t="s">
        <v>25</v>
      </c>
      <c r="N84" s="1">
        <v>1</v>
      </c>
      <c r="O84" s="3">
        <v>1252</v>
      </c>
      <c r="P84" s="3">
        <v>2295</v>
      </c>
      <c r="Q84" s="3">
        <v>1043</v>
      </c>
      <c r="R84" s="3">
        <f t="shared" si="4"/>
        <v>1252</v>
      </c>
      <c r="S84" s="3">
        <f t="shared" si="5"/>
        <v>2295</v>
      </c>
    </row>
    <row r="85" spans="1:19" x14ac:dyDescent="0.25">
      <c r="A85" s="6" t="s">
        <v>24</v>
      </c>
      <c r="B85" s="5">
        <v>44552</v>
      </c>
      <c r="C85">
        <v>22</v>
      </c>
      <c r="D85" t="s">
        <v>7</v>
      </c>
      <c r="E85" s="1">
        <v>2021</v>
      </c>
      <c r="F85" s="1">
        <v>41</v>
      </c>
      <c r="G85" s="2" t="s">
        <v>6</v>
      </c>
      <c r="H85" s="1" t="s">
        <v>5</v>
      </c>
      <c r="I85" t="s">
        <v>23</v>
      </c>
      <c r="J85" t="s">
        <v>22</v>
      </c>
      <c r="K85" t="s">
        <v>2</v>
      </c>
      <c r="L85" t="s">
        <v>1</v>
      </c>
      <c r="M85" s="4" t="s">
        <v>21</v>
      </c>
      <c r="N85" s="1">
        <v>1</v>
      </c>
      <c r="O85" s="3">
        <v>1266</v>
      </c>
      <c r="P85" s="3">
        <v>2320</v>
      </c>
      <c r="Q85" s="3">
        <v>1054</v>
      </c>
      <c r="R85" s="3">
        <f t="shared" si="4"/>
        <v>1266</v>
      </c>
      <c r="S85" s="3">
        <f t="shared" si="5"/>
        <v>2320</v>
      </c>
    </row>
    <row r="86" spans="1:19" x14ac:dyDescent="0.25">
      <c r="A86" s="6" t="s">
        <v>20</v>
      </c>
      <c r="B86" s="5">
        <v>44553</v>
      </c>
      <c r="C86">
        <v>23</v>
      </c>
      <c r="D86" t="s">
        <v>7</v>
      </c>
      <c r="E86" s="1">
        <v>2021</v>
      </c>
      <c r="F86" s="1">
        <v>30</v>
      </c>
      <c r="G86" s="2" t="s">
        <v>16</v>
      </c>
      <c r="H86" s="1" t="s">
        <v>12</v>
      </c>
      <c r="I86" t="s">
        <v>11</v>
      </c>
      <c r="J86" t="s">
        <v>19</v>
      </c>
      <c r="K86" t="s">
        <v>2</v>
      </c>
      <c r="L86" t="s">
        <v>1</v>
      </c>
      <c r="M86" s="4" t="s">
        <v>18</v>
      </c>
      <c r="N86" s="1">
        <v>1</v>
      </c>
      <c r="O86" s="3">
        <v>1266</v>
      </c>
      <c r="P86" s="3">
        <v>2320</v>
      </c>
      <c r="Q86" s="3">
        <v>1054</v>
      </c>
      <c r="R86" s="3">
        <f t="shared" si="4"/>
        <v>1266</v>
      </c>
      <c r="S86" s="3">
        <f t="shared" si="5"/>
        <v>2320</v>
      </c>
    </row>
    <row r="87" spans="1:19" x14ac:dyDescent="0.25">
      <c r="A87" s="6" t="s">
        <v>17</v>
      </c>
      <c r="B87" s="5">
        <v>44553</v>
      </c>
      <c r="C87">
        <v>23</v>
      </c>
      <c r="D87" t="s">
        <v>7</v>
      </c>
      <c r="E87" s="1">
        <v>2021</v>
      </c>
      <c r="F87" s="1">
        <v>31</v>
      </c>
      <c r="G87" s="2" t="s">
        <v>16</v>
      </c>
      <c r="H87" s="1" t="s">
        <v>12</v>
      </c>
      <c r="I87" t="s">
        <v>15</v>
      </c>
      <c r="J87" t="s">
        <v>14</v>
      </c>
      <c r="K87" t="s">
        <v>2</v>
      </c>
      <c r="L87" t="s">
        <v>1</v>
      </c>
      <c r="M87" s="4" t="s">
        <v>0</v>
      </c>
      <c r="N87" s="1">
        <v>1</v>
      </c>
      <c r="O87" s="3">
        <v>1252</v>
      </c>
      <c r="P87" s="3">
        <v>2295</v>
      </c>
      <c r="Q87" s="3">
        <v>1043</v>
      </c>
      <c r="R87" s="3">
        <f t="shared" si="4"/>
        <v>1252</v>
      </c>
      <c r="S87" s="3">
        <f t="shared" si="5"/>
        <v>2295</v>
      </c>
    </row>
    <row r="88" spans="1:19" x14ac:dyDescent="0.25">
      <c r="A88" s="6" t="s">
        <v>13</v>
      </c>
      <c r="B88" s="5">
        <v>44553</v>
      </c>
      <c r="C88">
        <v>23</v>
      </c>
      <c r="D88" t="s">
        <v>7</v>
      </c>
      <c r="E88" s="1">
        <v>2021</v>
      </c>
      <c r="F88" s="1">
        <v>35</v>
      </c>
      <c r="G88" s="2" t="s">
        <v>6</v>
      </c>
      <c r="H88" s="1" t="s">
        <v>12</v>
      </c>
      <c r="I88" t="s">
        <v>11</v>
      </c>
      <c r="J88" t="s">
        <v>10</v>
      </c>
      <c r="K88" t="s">
        <v>2</v>
      </c>
      <c r="L88" t="s">
        <v>1</v>
      </c>
      <c r="M88" s="4" t="s">
        <v>9</v>
      </c>
      <c r="N88" s="1">
        <v>1</v>
      </c>
      <c r="O88" s="3">
        <v>295</v>
      </c>
      <c r="P88" s="3">
        <v>540</v>
      </c>
      <c r="Q88" s="3">
        <v>245</v>
      </c>
      <c r="R88" s="3">
        <f t="shared" si="4"/>
        <v>295</v>
      </c>
      <c r="S88" s="3">
        <f t="shared" si="5"/>
        <v>540</v>
      </c>
    </row>
    <row r="89" spans="1:19" x14ac:dyDescent="0.25">
      <c r="A89" s="6" t="s">
        <v>8</v>
      </c>
      <c r="B89" s="5">
        <v>44554</v>
      </c>
      <c r="C89">
        <v>24</v>
      </c>
      <c r="D89" t="s">
        <v>7</v>
      </c>
      <c r="E89" s="1">
        <v>2021</v>
      </c>
      <c r="F89" s="1">
        <v>38</v>
      </c>
      <c r="G89" s="2" t="s">
        <v>6</v>
      </c>
      <c r="H89" s="1" t="s">
        <v>5</v>
      </c>
      <c r="I89" t="s">
        <v>4</v>
      </c>
      <c r="J89" t="s">
        <v>3</v>
      </c>
      <c r="K89" t="s">
        <v>2</v>
      </c>
      <c r="L89" t="s">
        <v>1</v>
      </c>
      <c r="M89" s="4" t="s">
        <v>0</v>
      </c>
      <c r="N89" s="1">
        <v>4</v>
      </c>
      <c r="O89" s="3">
        <v>1252</v>
      </c>
      <c r="P89" s="3">
        <v>2295</v>
      </c>
      <c r="Q89" s="3">
        <v>4172</v>
      </c>
      <c r="R89" s="3">
        <f t="shared" si="4"/>
        <v>5008</v>
      </c>
      <c r="S89" s="3">
        <f t="shared" si="5"/>
        <v>9180</v>
      </c>
    </row>
    <row r="90" spans="1:19" x14ac:dyDescent="0.25">
      <c r="G90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9"/>
  <sheetViews>
    <sheetView workbookViewId="0">
      <selection activeCell="C39" sqref="C39"/>
    </sheetView>
  </sheetViews>
  <sheetFormatPr defaultRowHeight="15" x14ac:dyDescent="0.25"/>
  <cols>
    <col min="1" max="1" width="15.5703125" bestFit="1" customWidth="1"/>
    <col min="2" max="2" width="10.7109375" bestFit="1" customWidth="1"/>
    <col min="3" max="3" width="6.5703125" bestFit="1" customWidth="1"/>
    <col min="4" max="4" width="10.140625" bestFit="1" customWidth="1"/>
    <col min="5" max="5" width="7.28515625" bestFit="1" customWidth="1"/>
    <col min="6" max="6" width="16.42578125" bestFit="1" customWidth="1"/>
    <col min="7" max="7" width="19.42578125" bestFit="1" customWidth="1"/>
    <col min="8" max="8" width="19.85546875" bestFit="1" customWidth="1"/>
    <col min="9" max="9" width="15.42578125" bestFit="1" customWidth="1"/>
    <col min="10" max="10" width="20.28515625" bestFit="1" customWidth="1"/>
    <col min="11" max="11" width="19.140625" bestFit="1" customWidth="1"/>
    <col min="12" max="12" width="15.5703125" bestFit="1" customWidth="1"/>
    <col min="13" max="13" width="24.7109375" bestFit="1" customWidth="1"/>
    <col min="14" max="14" width="17.28515625" bestFit="1" customWidth="1"/>
    <col min="15" max="15" width="12.85546875" bestFit="1" customWidth="1"/>
    <col min="16" max="16" width="13.42578125" bestFit="1" customWidth="1"/>
    <col min="18" max="18" width="8" bestFit="1" customWidth="1"/>
    <col min="19" max="19" width="11.140625" bestFit="1" customWidth="1"/>
  </cols>
  <sheetData>
    <row r="1" spans="1:19" x14ac:dyDescent="0.25">
      <c r="A1" t="s">
        <v>155</v>
      </c>
      <c r="B1" t="s">
        <v>154</v>
      </c>
      <c r="C1" t="s">
        <v>153</v>
      </c>
      <c r="D1" t="s">
        <v>152</v>
      </c>
      <c r="E1" t="s">
        <v>151</v>
      </c>
      <c r="F1" t="s">
        <v>150</v>
      </c>
      <c r="G1" t="s">
        <v>149</v>
      </c>
      <c r="H1" t="s">
        <v>148</v>
      </c>
      <c r="I1" t="s">
        <v>147</v>
      </c>
      <c r="J1" t="s">
        <v>146</v>
      </c>
      <c r="K1" t="s">
        <v>145</v>
      </c>
      <c r="L1" t="s">
        <v>144</v>
      </c>
      <c r="M1" t="s">
        <v>143</v>
      </c>
      <c r="N1" t="s">
        <v>142</v>
      </c>
      <c r="O1" t="s">
        <v>141</v>
      </c>
      <c r="P1" t="s">
        <v>140</v>
      </c>
      <c r="Q1" t="s">
        <v>139</v>
      </c>
      <c r="R1" t="s">
        <v>138</v>
      </c>
      <c r="S1" t="s">
        <v>137</v>
      </c>
    </row>
    <row r="2" spans="1:19" x14ac:dyDescent="0.25">
      <c r="A2" t="s">
        <v>133</v>
      </c>
      <c r="B2" s="5">
        <v>44532</v>
      </c>
      <c r="C2">
        <v>2</v>
      </c>
      <c r="D2" t="s">
        <v>7</v>
      </c>
      <c r="E2">
        <v>2021</v>
      </c>
      <c r="F2">
        <v>31</v>
      </c>
      <c r="G2" t="s">
        <v>16</v>
      </c>
      <c r="H2" t="s">
        <v>12</v>
      </c>
      <c r="I2" t="s">
        <v>4</v>
      </c>
      <c r="J2" t="s">
        <v>32</v>
      </c>
      <c r="K2" t="s">
        <v>2</v>
      </c>
      <c r="L2" t="s">
        <v>1</v>
      </c>
      <c r="M2" t="s">
        <v>71</v>
      </c>
      <c r="N2">
        <v>1</v>
      </c>
      <c r="O2">
        <v>420</v>
      </c>
      <c r="P2">
        <v>769</v>
      </c>
      <c r="Q2">
        <v>349</v>
      </c>
      <c r="R2">
        <v>420</v>
      </c>
      <c r="S2">
        <v>769</v>
      </c>
    </row>
    <row r="3" spans="1:19" x14ac:dyDescent="0.25">
      <c r="A3" t="s">
        <v>129</v>
      </c>
      <c r="B3" s="5">
        <v>44534</v>
      </c>
      <c r="C3">
        <v>4</v>
      </c>
      <c r="D3" t="s">
        <v>7</v>
      </c>
      <c r="E3">
        <v>2021</v>
      </c>
      <c r="F3">
        <v>31</v>
      </c>
      <c r="G3" t="s">
        <v>16</v>
      </c>
      <c r="H3" t="s">
        <v>12</v>
      </c>
      <c r="I3" t="s">
        <v>4</v>
      </c>
      <c r="J3" t="s">
        <v>32</v>
      </c>
      <c r="K3" t="s">
        <v>2</v>
      </c>
      <c r="L3" t="s">
        <v>1</v>
      </c>
      <c r="M3" t="s">
        <v>71</v>
      </c>
      <c r="N3">
        <v>4</v>
      </c>
      <c r="O3">
        <v>420</v>
      </c>
      <c r="P3">
        <v>769</v>
      </c>
      <c r="Q3">
        <v>1396</v>
      </c>
      <c r="R3">
        <v>1680</v>
      </c>
      <c r="S3">
        <v>3076</v>
      </c>
    </row>
    <row r="4" spans="1:19" x14ac:dyDescent="0.25">
      <c r="A4" t="s">
        <v>126</v>
      </c>
      <c r="B4" s="5">
        <v>44535</v>
      </c>
      <c r="C4">
        <v>5</v>
      </c>
      <c r="D4" t="s">
        <v>7</v>
      </c>
      <c r="E4">
        <v>2021</v>
      </c>
      <c r="F4">
        <v>35</v>
      </c>
      <c r="G4" t="s">
        <v>6</v>
      </c>
      <c r="H4" t="s">
        <v>12</v>
      </c>
      <c r="I4" t="s">
        <v>4</v>
      </c>
      <c r="J4" t="s">
        <v>3</v>
      </c>
      <c r="K4" t="s">
        <v>2</v>
      </c>
      <c r="L4" t="s">
        <v>1</v>
      </c>
      <c r="M4" t="s">
        <v>21</v>
      </c>
      <c r="N4">
        <v>1</v>
      </c>
      <c r="O4">
        <v>1266</v>
      </c>
      <c r="P4">
        <v>2320</v>
      </c>
      <c r="Q4">
        <v>1054</v>
      </c>
      <c r="R4">
        <v>1266</v>
      </c>
      <c r="S4">
        <v>2320</v>
      </c>
    </row>
    <row r="5" spans="1:19" x14ac:dyDescent="0.25">
      <c r="A5" t="s">
        <v>122</v>
      </c>
      <c r="B5" s="5">
        <v>44536</v>
      </c>
      <c r="C5">
        <v>6</v>
      </c>
      <c r="D5" t="s">
        <v>7</v>
      </c>
      <c r="E5">
        <v>2021</v>
      </c>
      <c r="F5">
        <v>36</v>
      </c>
      <c r="G5" t="s">
        <v>6</v>
      </c>
      <c r="H5" t="s">
        <v>5</v>
      </c>
      <c r="I5" t="s">
        <v>4</v>
      </c>
      <c r="J5" t="s">
        <v>32</v>
      </c>
      <c r="K5" t="s">
        <v>2</v>
      </c>
      <c r="L5" t="s">
        <v>1</v>
      </c>
      <c r="M5" t="s">
        <v>0</v>
      </c>
      <c r="N5">
        <v>1</v>
      </c>
      <c r="O5">
        <v>1252</v>
      </c>
      <c r="P5">
        <v>2295</v>
      </c>
      <c r="Q5">
        <v>1043</v>
      </c>
      <c r="R5">
        <v>1252</v>
      </c>
      <c r="S5">
        <v>2295</v>
      </c>
    </row>
    <row r="6" spans="1:19" x14ac:dyDescent="0.25">
      <c r="A6" t="s">
        <v>118</v>
      </c>
      <c r="B6" s="5">
        <v>44538</v>
      </c>
      <c r="C6">
        <v>8</v>
      </c>
      <c r="D6" t="s">
        <v>7</v>
      </c>
      <c r="E6">
        <v>2021</v>
      </c>
      <c r="F6">
        <v>19</v>
      </c>
      <c r="G6" t="s">
        <v>33</v>
      </c>
      <c r="H6" t="s">
        <v>12</v>
      </c>
      <c r="I6" t="s">
        <v>4</v>
      </c>
      <c r="J6" t="s">
        <v>32</v>
      </c>
      <c r="K6" t="s">
        <v>2</v>
      </c>
      <c r="L6" t="s">
        <v>1</v>
      </c>
      <c r="M6" t="s">
        <v>31</v>
      </c>
      <c r="N6">
        <v>4</v>
      </c>
      <c r="O6">
        <v>308</v>
      </c>
      <c r="P6">
        <v>565</v>
      </c>
      <c r="Q6">
        <v>1028</v>
      </c>
      <c r="R6">
        <v>1232</v>
      </c>
      <c r="S6">
        <v>2260</v>
      </c>
    </row>
    <row r="7" spans="1:19" x14ac:dyDescent="0.25">
      <c r="A7" t="s">
        <v>114</v>
      </c>
      <c r="B7" s="5">
        <v>44539</v>
      </c>
      <c r="C7">
        <v>9</v>
      </c>
      <c r="D7" t="s">
        <v>7</v>
      </c>
      <c r="E7">
        <v>2021</v>
      </c>
      <c r="F7">
        <v>33</v>
      </c>
      <c r="G7" t="s">
        <v>16</v>
      </c>
      <c r="H7" t="s">
        <v>12</v>
      </c>
      <c r="I7" t="s">
        <v>4</v>
      </c>
      <c r="J7" t="s">
        <v>44</v>
      </c>
      <c r="K7" t="s">
        <v>2</v>
      </c>
      <c r="L7" t="s">
        <v>1</v>
      </c>
      <c r="M7" t="s">
        <v>50</v>
      </c>
      <c r="N7">
        <v>2</v>
      </c>
      <c r="O7">
        <v>1898</v>
      </c>
      <c r="P7">
        <v>3375</v>
      </c>
      <c r="Q7">
        <v>2954</v>
      </c>
      <c r="R7">
        <v>3796</v>
      </c>
      <c r="S7">
        <v>6750</v>
      </c>
    </row>
    <row r="8" spans="1:19" x14ac:dyDescent="0.25">
      <c r="A8" t="s">
        <v>110</v>
      </c>
      <c r="B8" s="5">
        <v>44540</v>
      </c>
      <c r="C8">
        <v>10</v>
      </c>
      <c r="D8" t="s">
        <v>7</v>
      </c>
      <c r="E8">
        <v>2021</v>
      </c>
      <c r="F8">
        <v>40</v>
      </c>
      <c r="G8" t="s">
        <v>6</v>
      </c>
      <c r="H8" t="s">
        <v>5</v>
      </c>
      <c r="I8" t="s">
        <v>4</v>
      </c>
      <c r="J8" t="s">
        <v>32</v>
      </c>
      <c r="K8" t="s">
        <v>2</v>
      </c>
      <c r="L8" t="s">
        <v>1</v>
      </c>
      <c r="M8" t="s">
        <v>0</v>
      </c>
      <c r="N8">
        <v>2</v>
      </c>
      <c r="O8">
        <v>1252</v>
      </c>
      <c r="P8">
        <v>2295</v>
      </c>
      <c r="Q8">
        <v>2086</v>
      </c>
      <c r="R8">
        <v>2504</v>
      </c>
      <c r="S8">
        <v>4590</v>
      </c>
    </row>
    <row r="9" spans="1:19" x14ac:dyDescent="0.25">
      <c r="A9" t="s">
        <v>105</v>
      </c>
      <c r="B9" s="5">
        <v>44540</v>
      </c>
      <c r="C9">
        <v>10</v>
      </c>
      <c r="D9" t="s">
        <v>7</v>
      </c>
      <c r="E9">
        <v>2021</v>
      </c>
      <c r="F9">
        <v>38</v>
      </c>
      <c r="G9" t="s">
        <v>6</v>
      </c>
      <c r="H9" t="s">
        <v>5</v>
      </c>
      <c r="I9" t="s">
        <v>4</v>
      </c>
      <c r="J9" t="s">
        <v>32</v>
      </c>
      <c r="K9" t="s">
        <v>2</v>
      </c>
      <c r="L9" t="s">
        <v>1</v>
      </c>
      <c r="M9" t="s">
        <v>27</v>
      </c>
      <c r="N9">
        <v>1</v>
      </c>
      <c r="O9">
        <v>1252</v>
      </c>
      <c r="P9">
        <v>2295</v>
      </c>
      <c r="Q9">
        <v>1043</v>
      </c>
      <c r="R9">
        <v>1252</v>
      </c>
      <c r="S9">
        <v>2295</v>
      </c>
    </row>
    <row r="10" spans="1:19" x14ac:dyDescent="0.25">
      <c r="A10" t="s">
        <v>103</v>
      </c>
      <c r="B10" s="5">
        <v>44541</v>
      </c>
      <c r="C10">
        <v>11</v>
      </c>
      <c r="D10" t="s">
        <v>7</v>
      </c>
      <c r="E10">
        <v>2021</v>
      </c>
      <c r="F10">
        <v>41</v>
      </c>
      <c r="G10" t="s">
        <v>6</v>
      </c>
      <c r="H10" t="s">
        <v>12</v>
      </c>
      <c r="I10" t="s">
        <v>4</v>
      </c>
      <c r="J10" t="s">
        <v>32</v>
      </c>
      <c r="K10" t="s">
        <v>2</v>
      </c>
      <c r="L10" t="s">
        <v>1</v>
      </c>
      <c r="M10" t="s">
        <v>102</v>
      </c>
      <c r="N10">
        <v>2</v>
      </c>
      <c r="O10">
        <v>420</v>
      </c>
      <c r="P10">
        <v>769</v>
      </c>
      <c r="Q10">
        <v>698</v>
      </c>
      <c r="R10">
        <v>840</v>
      </c>
      <c r="S10">
        <v>1538</v>
      </c>
    </row>
    <row r="11" spans="1:19" x14ac:dyDescent="0.25">
      <c r="A11" t="s">
        <v>98</v>
      </c>
      <c r="B11" s="5">
        <v>44542</v>
      </c>
      <c r="C11">
        <v>12</v>
      </c>
      <c r="D11" t="s">
        <v>7</v>
      </c>
      <c r="E11">
        <v>2021</v>
      </c>
      <c r="F11">
        <v>36</v>
      </c>
      <c r="G11" t="s">
        <v>6</v>
      </c>
      <c r="H11" t="s">
        <v>12</v>
      </c>
      <c r="I11" t="s">
        <v>4</v>
      </c>
      <c r="J11" t="s">
        <v>32</v>
      </c>
      <c r="K11" t="s">
        <v>2</v>
      </c>
      <c r="L11" t="s">
        <v>1</v>
      </c>
      <c r="M11" t="s">
        <v>18</v>
      </c>
      <c r="N11">
        <v>4</v>
      </c>
      <c r="O11">
        <v>1266</v>
      </c>
      <c r="P11">
        <v>2320</v>
      </c>
      <c r="Q11">
        <v>4216</v>
      </c>
      <c r="R11">
        <v>5064</v>
      </c>
      <c r="S11">
        <v>9280</v>
      </c>
    </row>
    <row r="12" spans="1:19" x14ac:dyDescent="0.25">
      <c r="A12" t="s">
        <v>96</v>
      </c>
      <c r="B12" s="5">
        <v>44542</v>
      </c>
      <c r="C12">
        <v>12</v>
      </c>
      <c r="D12" t="s">
        <v>7</v>
      </c>
      <c r="E12">
        <v>2021</v>
      </c>
      <c r="F12">
        <v>34</v>
      </c>
      <c r="G12" t="s">
        <v>16</v>
      </c>
      <c r="H12" t="s">
        <v>5</v>
      </c>
      <c r="I12" t="s">
        <v>4</v>
      </c>
      <c r="J12" t="s">
        <v>32</v>
      </c>
      <c r="K12" t="s">
        <v>2</v>
      </c>
      <c r="L12" t="s">
        <v>1</v>
      </c>
      <c r="M12" t="s">
        <v>27</v>
      </c>
      <c r="N12">
        <v>2</v>
      </c>
      <c r="O12">
        <v>1252</v>
      </c>
      <c r="P12">
        <v>2295</v>
      </c>
      <c r="Q12">
        <v>2086</v>
      </c>
      <c r="R12">
        <v>2504</v>
      </c>
      <c r="S12">
        <v>4590</v>
      </c>
    </row>
    <row r="13" spans="1:19" x14ac:dyDescent="0.25">
      <c r="A13" t="s">
        <v>95</v>
      </c>
      <c r="B13" s="5">
        <v>44542</v>
      </c>
      <c r="C13">
        <v>12</v>
      </c>
      <c r="D13" t="s">
        <v>7</v>
      </c>
      <c r="E13">
        <v>2021</v>
      </c>
      <c r="F13">
        <v>35</v>
      </c>
      <c r="G13" t="s">
        <v>6</v>
      </c>
      <c r="H13" t="s">
        <v>12</v>
      </c>
      <c r="I13" t="s">
        <v>4</v>
      </c>
      <c r="J13" t="s">
        <v>44</v>
      </c>
      <c r="K13" t="s">
        <v>2</v>
      </c>
      <c r="L13" t="s">
        <v>1</v>
      </c>
      <c r="M13" t="s">
        <v>18</v>
      </c>
      <c r="N13">
        <v>1</v>
      </c>
      <c r="O13">
        <v>1266</v>
      </c>
      <c r="P13">
        <v>2320</v>
      </c>
      <c r="Q13">
        <v>1054</v>
      </c>
      <c r="R13">
        <v>1266</v>
      </c>
      <c r="S13">
        <v>2320</v>
      </c>
    </row>
    <row r="14" spans="1:19" x14ac:dyDescent="0.25">
      <c r="A14" t="s">
        <v>93</v>
      </c>
      <c r="B14" s="5">
        <v>44543</v>
      </c>
      <c r="C14">
        <v>13</v>
      </c>
      <c r="D14" t="s">
        <v>7</v>
      </c>
      <c r="E14">
        <v>2021</v>
      </c>
      <c r="F14">
        <v>32</v>
      </c>
      <c r="G14" t="s">
        <v>16</v>
      </c>
      <c r="H14" t="s">
        <v>12</v>
      </c>
      <c r="I14" t="s">
        <v>4</v>
      </c>
      <c r="J14" t="s">
        <v>3</v>
      </c>
      <c r="K14" t="s">
        <v>2</v>
      </c>
      <c r="L14" t="s">
        <v>1</v>
      </c>
      <c r="M14" t="s">
        <v>18</v>
      </c>
      <c r="N14">
        <v>3</v>
      </c>
      <c r="O14">
        <v>1266</v>
      </c>
      <c r="P14">
        <v>2320</v>
      </c>
      <c r="Q14">
        <v>3162</v>
      </c>
      <c r="R14">
        <v>3798</v>
      </c>
      <c r="S14">
        <v>6960</v>
      </c>
    </row>
    <row r="15" spans="1:19" x14ac:dyDescent="0.25">
      <c r="A15" t="s">
        <v>86</v>
      </c>
      <c r="B15" s="5">
        <v>44544</v>
      </c>
      <c r="C15">
        <v>14</v>
      </c>
      <c r="D15" t="s">
        <v>7</v>
      </c>
      <c r="E15">
        <v>2021</v>
      </c>
      <c r="F15">
        <v>32</v>
      </c>
      <c r="G15" t="s">
        <v>16</v>
      </c>
      <c r="H15" t="s">
        <v>12</v>
      </c>
      <c r="I15" t="s">
        <v>4</v>
      </c>
      <c r="J15" t="s">
        <v>44</v>
      </c>
      <c r="K15" t="s">
        <v>2</v>
      </c>
      <c r="L15" t="s">
        <v>1</v>
      </c>
      <c r="M15" t="s">
        <v>38</v>
      </c>
      <c r="N15">
        <v>1</v>
      </c>
      <c r="O15">
        <v>420</v>
      </c>
      <c r="P15">
        <v>769</v>
      </c>
      <c r="Q15">
        <v>349</v>
      </c>
      <c r="R15">
        <v>420</v>
      </c>
      <c r="S15">
        <v>769</v>
      </c>
    </row>
    <row r="16" spans="1:19" x14ac:dyDescent="0.25">
      <c r="A16" t="s">
        <v>84</v>
      </c>
      <c r="B16" s="5">
        <v>44546</v>
      </c>
      <c r="C16">
        <v>16</v>
      </c>
      <c r="D16" t="s">
        <v>7</v>
      </c>
      <c r="E16">
        <v>2021</v>
      </c>
      <c r="F16">
        <v>33</v>
      </c>
      <c r="G16" t="s">
        <v>16</v>
      </c>
      <c r="H16" t="s">
        <v>12</v>
      </c>
      <c r="I16" t="s">
        <v>4</v>
      </c>
      <c r="J16" t="s">
        <v>32</v>
      </c>
      <c r="K16" t="s">
        <v>2</v>
      </c>
      <c r="L16" t="s">
        <v>1</v>
      </c>
      <c r="M16" t="s">
        <v>27</v>
      </c>
      <c r="N16">
        <v>2</v>
      </c>
      <c r="O16">
        <v>1252</v>
      </c>
      <c r="P16">
        <v>2295</v>
      </c>
      <c r="Q16">
        <v>2086</v>
      </c>
      <c r="R16">
        <v>2504</v>
      </c>
      <c r="S16">
        <v>4590</v>
      </c>
    </row>
    <row r="17" spans="1:19" x14ac:dyDescent="0.25">
      <c r="A17" t="s">
        <v>83</v>
      </c>
      <c r="B17" s="5">
        <v>44546</v>
      </c>
      <c r="C17">
        <v>16</v>
      </c>
      <c r="D17" t="s">
        <v>7</v>
      </c>
      <c r="E17">
        <v>2021</v>
      </c>
      <c r="F17">
        <v>38</v>
      </c>
      <c r="G17" t="s">
        <v>6</v>
      </c>
      <c r="H17" t="s">
        <v>5</v>
      </c>
      <c r="I17" t="s">
        <v>4</v>
      </c>
      <c r="J17" t="s">
        <v>32</v>
      </c>
      <c r="K17" t="s">
        <v>2</v>
      </c>
      <c r="L17" t="s">
        <v>1</v>
      </c>
      <c r="M17" t="s">
        <v>27</v>
      </c>
      <c r="N17">
        <v>2</v>
      </c>
      <c r="O17">
        <v>1252</v>
      </c>
      <c r="P17">
        <v>2295</v>
      </c>
      <c r="Q17">
        <v>2086</v>
      </c>
      <c r="R17">
        <v>2504</v>
      </c>
      <c r="S17">
        <v>4590</v>
      </c>
    </row>
    <row r="18" spans="1:19" x14ac:dyDescent="0.25">
      <c r="A18" t="s">
        <v>79</v>
      </c>
      <c r="B18" s="5">
        <v>44547</v>
      </c>
      <c r="C18">
        <v>17</v>
      </c>
      <c r="D18" t="s">
        <v>7</v>
      </c>
      <c r="E18">
        <v>2021</v>
      </c>
      <c r="F18">
        <v>31</v>
      </c>
      <c r="G18" t="s">
        <v>16</v>
      </c>
      <c r="H18" t="s">
        <v>5</v>
      </c>
      <c r="I18" t="s">
        <v>4</v>
      </c>
      <c r="J18" t="s">
        <v>32</v>
      </c>
      <c r="K18" t="s">
        <v>2</v>
      </c>
      <c r="L18" t="s">
        <v>1</v>
      </c>
      <c r="M18" t="s">
        <v>71</v>
      </c>
      <c r="N18">
        <v>1</v>
      </c>
      <c r="O18">
        <v>420</v>
      </c>
      <c r="P18">
        <v>769</v>
      </c>
      <c r="Q18">
        <v>349</v>
      </c>
      <c r="R18">
        <v>420</v>
      </c>
      <c r="S18">
        <v>769</v>
      </c>
    </row>
    <row r="19" spans="1:19" x14ac:dyDescent="0.25">
      <c r="A19" t="s">
        <v>77</v>
      </c>
      <c r="B19" s="5">
        <v>44548</v>
      </c>
      <c r="C19">
        <v>18</v>
      </c>
      <c r="D19" t="s">
        <v>7</v>
      </c>
      <c r="E19">
        <v>2021</v>
      </c>
      <c r="F19">
        <v>35</v>
      </c>
      <c r="G19" t="s">
        <v>6</v>
      </c>
      <c r="H19" t="s">
        <v>12</v>
      </c>
      <c r="I19" t="s">
        <v>4</v>
      </c>
      <c r="J19" t="s">
        <v>32</v>
      </c>
      <c r="K19" t="s">
        <v>2</v>
      </c>
      <c r="L19" t="s">
        <v>1</v>
      </c>
      <c r="M19" t="s">
        <v>31</v>
      </c>
      <c r="N19">
        <v>4</v>
      </c>
      <c r="O19">
        <v>308</v>
      </c>
      <c r="P19">
        <v>565</v>
      </c>
      <c r="Q19">
        <v>1028</v>
      </c>
      <c r="R19">
        <v>1232</v>
      </c>
      <c r="S19">
        <v>2260</v>
      </c>
    </row>
    <row r="20" spans="1:19" x14ac:dyDescent="0.25">
      <c r="A20" t="s">
        <v>64</v>
      </c>
      <c r="B20" s="5">
        <v>44549</v>
      </c>
      <c r="C20">
        <v>19</v>
      </c>
      <c r="D20" t="s">
        <v>7</v>
      </c>
      <c r="E20">
        <v>2021</v>
      </c>
      <c r="F20">
        <v>19</v>
      </c>
      <c r="G20" t="s">
        <v>33</v>
      </c>
      <c r="H20" t="s">
        <v>12</v>
      </c>
      <c r="I20" t="s">
        <v>4</v>
      </c>
      <c r="J20" t="s">
        <v>44</v>
      </c>
      <c r="K20" t="s">
        <v>2</v>
      </c>
      <c r="L20" t="s">
        <v>1</v>
      </c>
      <c r="M20" t="s">
        <v>63</v>
      </c>
      <c r="N20">
        <v>4</v>
      </c>
      <c r="O20">
        <v>295</v>
      </c>
      <c r="P20">
        <v>540</v>
      </c>
      <c r="Q20">
        <v>980</v>
      </c>
      <c r="R20">
        <v>1180</v>
      </c>
      <c r="S20">
        <v>2160</v>
      </c>
    </row>
    <row r="21" spans="1:19" x14ac:dyDescent="0.25">
      <c r="A21" t="s">
        <v>57</v>
      </c>
      <c r="B21" s="5">
        <v>44549</v>
      </c>
      <c r="C21">
        <v>19</v>
      </c>
      <c r="D21" t="s">
        <v>7</v>
      </c>
      <c r="E21">
        <v>2021</v>
      </c>
      <c r="F21">
        <v>63</v>
      </c>
      <c r="G21" t="s">
        <v>6</v>
      </c>
      <c r="H21" t="s">
        <v>12</v>
      </c>
      <c r="I21" t="s">
        <v>4</v>
      </c>
      <c r="J21" t="s">
        <v>3</v>
      </c>
      <c r="K21" t="s">
        <v>2</v>
      </c>
      <c r="L21" t="s">
        <v>1</v>
      </c>
      <c r="M21" t="s">
        <v>25</v>
      </c>
      <c r="N21">
        <v>4</v>
      </c>
      <c r="O21">
        <v>1252</v>
      </c>
      <c r="P21">
        <v>2295</v>
      </c>
      <c r="Q21">
        <v>4172</v>
      </c>
      <c r="R21">
        <v>5008</v>
      </c>
      <c r="S21">
        <v>9180</v>
      </c>
    </row>
    <row r="22" spans="1:19" x14ac:dyDescent="0.25">
      <c r="A22" t="s">
        <v>56</v>
      </c>
      <c r="B22" s="5">
        <v>44549</v>
      </c>
      <c r="C22">
        <v>19</v>
      </c>
      <c r="D22" t="s">
        <v>7</v>
      </c>
      <c r="E22">
        <v>2021</v>
      </c>
      <c r="F22">
        <v>18</v>
      </c>
      <c r="G22" t="s">
        <v>33</v>
      </c>
      <c r="H22" t="s">
        <v>5</v>
      </c>
      <c r="I22" t="s">
        <v>4</v>
      </c>
      <c r="J22" t="s">
        <v>55</v>
      </c>
      <c r="K22" t="s">
        <v>2</v>
      </c>
      <c r="L22" t="s">
        <v>1</v>
      </c>
      <c r="M22" t="s">
        <v>54</v>
      </c>
      <c r="N22">
        <v>2</v>
      </c>
      <c r="O22">
        <v>295</v>
      </c>
      <c r="P22">
        <v>540</v>
      </c>
      <c r="Q22">
        <v>490</v>
      </c>
      <c r="R22">
        <v>590</v>
      </c>
      <c r="S22">
        <v>1080</v>
      </c>
    </row>
    <row r="23" spans="1:19" x14ac:dyDescent="0.25">
      <c r="A23" t="s">
        <v>51</v>
      </c>
      <c r="B23" s="5">
        <v>44550</v>
      </c>
      <c r="C23">
        <v>20</v>
      </c>
      <c r="D23" t="s">
        <v>7</v>
      </c>
      <c r="E23">
        <v>2021</v>
      </c>
      <c r="F23">
        <v>33</v>
      </c>
      <c r="G23" t="s">
        <v>16</v>
      </c>
      <c r="H23" t="s">
        <v>12</v>
      </c>
      <c r="I23" t="s">
        <v>4</v>
      </c>
      <c r="J23" t="s">
        <v>44</v>
      </c>
      <c r="K23" t="s">
        <v>2</v>
      </c>
      <c r="L23" t="s">
        <v>1</v>
      </c>
      <c r="M23" t="s">
        <v>50</v>
      </c>
      <c r="N23">
        <v>4</v>
      </c>
      <c r="O23">
        <v>1898</v>
      </c>
      <c r="P23">
        <v>3375</v>
      </c>
      <c r="Q23">
        <v>5908</v>
      </c>
      <c r="R23">
        <v>7592</v>
      </c>
      <c r="S23">
        <v>13500</v>
      </c>
    </row>
    <row r="24" spans="1:19" x14ac:dyDescent="0.25">
      <c r="A24" t="s">
        <v>49</v>
      </c>
      <c r="B24" s="5">
        <v>44550</v>
      </c>
      <c r="C24">
        <v>20</v>
      </c>
      <c r="D24" t="s">
        <v>7</v>
      </c>
      <c r="E24">
        <v>2021</v>
      </c>
      <c r="F24">
        <v>57</v>
      </c>
      <c r="G24" t="s">
        <v>6</v>
      </c>
      <c r="H24" t="s">
        <v>5</v>
      </c>
      <c r="I24" t="s">
        <v>4</v>
      </c>
      <c r="J24" t="s">
        <v>3</v>
      </c>
      <c r="K24" t="s">
        <v>2</v>
      </c>
      <c r="L24" t="s">
        <v>1</v>
      </c>
      <c r="M24" t="s">
        <v>25</v>
      </c>
      <c r="N24">
        <v>4</v>
      </c>
      <c r="O24">
        <v>1252</v>
      </c>
      <c r="P24">
        <v>2295</v>
      </c>
      <c r="Q24">
        <v>4172</v>
      </c>
      <c r="R24">
        <v>5008</v>
      </c>
      <c r="S24">
        <v>9180</v>
      </c>
    </row>
    <row r="25" spans="1:19" x14ac:dyDescent="0.25">
      <c r="A25" t="s">
        <v>46</v>
      </c>
      <c r="B25" s="5">
        <v>44550</v>
      </c>
      <c r="C25">
        <v>20</v>
      </c>
      <c r="D25" t="s">
        <v>7</v>
      </c>
      <c r="E25">
        <v>2021</v>
      </c>
      <c r="F25">
        <v>35</v>
      </c>
      <c r="G25" t="s">
        <v>6</v>
      </c>
      <c r="H25" t="s">
        <v>12</v>
      </c>
      <c r="I25" t="s">
        <v>4</v>
      </c>
      <c r="J25" t="s">
        <v>3</v>
      </c>
      <c r="K25" t="s">
        <v>2</v>
      </c>
      <c r="L25" t="s">
        <v>1</v>
      </c>
      <c r="M25" t="s">
        <v>21</v>
      </c>
      <c r="N25">
        <v>1</v>
      </c>
      <c r="O25">
        <v>1266</v>
      </c>
      <c r="P25">
        <v>2320</v>
      </c>
      <c r="Q25">
        <v>1054</v>
      </c>
      <c r="R25">
        <v>1266</v>
      </c>
      <c r="S25">
        <v>2320</v>
      </c>
    </row>
    <row r="26" spans="1:19" x14ac:dyDescent="0.25">
      <c r="A26" t="s">
        <v>45</v>
      </c>
      <c r="B26" s="5">
        <v>44550</v>
      </c>
      <c r="C26">
        <v>20</v>
      </c>
      <c r="D26" t="s">
        <v>7</v>
      </c>
      <c r="E26">
        <v>2021</v>
      </c>
      <c r="F26">
        <v>35</v>
      </c>
      <c r="G26" t="s">
        <v>6</v>
      </c>
      <c r="H26" t="s">
        <v>5</v>
      </c>
      <c r="I26" t="s">
        <v>4</v>
      </c>
      <c r="J26" t="s">
        <v>44</v>
      </c>
      <c r="K26" t="s">
        <v>2</v>
      </c>
      <c r="L26" t="s">
        <v>1</v>
      </c>
      <c r="M26" t="s">
        <v>21</v>
      </c>
      <c r="N26">
        <v>1</v>
      </c>
      <c r="O26">
        <v>1266</v>
      </c>
      <c r="P26">
        <v>2320</v>
      </c>
      <c r="Q26">
        <v>1054</v>
      </c>
      <c r="R26">
        <v>1266</v>
      </c>
      <c r="S26">
        <v>2320</v>
      </c>
    </row>
    <row r="27" spans="1:19" x14ac:dyDescent="0.25">
      <c r="A27" t="s">
        <v>34</v>
      </c>
      <c r="B27" s="5">
        <v>44552</v>
      </c>
      <c r="C27">
        <v>22</v>
      </c>
      <c r="D27" t="s">
        <v>7</v>
      </c>
      <c r="E27">
        <v>2021</v>
      </c>
      <c r="F27">
        <v>19</v>
      </c>
      <c r="G27" t="s">
        <v>33</v>
      </c>
      <c r="H27" t="s">
        <v>12</v>
      </c>
      <c r="I27" t="s">
        <v>4</v>
      </c>
      <c r="J27" t="s">
        <v>32</v>
      </c>
      <c r="K27" t="s">
        <v>2</v>
      </c>
      <c r="L27" t="s">
        <v>1</v>
      </c>
      <c r="M27" t="s">
        <v>31</v>
      </c>
      <c r="N27">
        <v>1</v>
      </c>
      <c r="O27">
        <v>308</v>
      </c>
      <c r="P27">
        <v>565</v>
      </c>
      <c r="Q27">
        <v>257</v>
      </c>
      <c r="R27">
        <v>308</v>
      </c>
      <c r="S27">
        <v>565</v>
      </c>
    </row>
    <row r="28" spans="1:19" x14ac:dyDescent="0.25">
      <c r="A28" t="s">
        <v>8</v>
      </c>
      <c r="B28" s="5">
        <v>44554</v>
      </c>
      <c r="C28">
        <v>24</v>
      </c>
      <c r="D28" t="s">
        <v>7</v>
      </c>
      <c r="E28">
        <v>2021</v>
      </c>
      <c r="F28">
        <v>38</v>
      </c>
      <c r="G28" t="s">
        <v>6</v>
      </c>
      <c r="H28" t="s">
        <v>5</v>
      </c>
      <c r="I28" t="s">
        <v>4</v>
      </c>
      <c r="J28" t="s">
        <v>3</v>
      </c>
      <c r="K28" t="s">
        <v>2</v>
      </c>
      <c r="L28" t="s">
        <v>1</v>
      </c>
      <c r="M28" t="s">
        <v>0</v>
      </c>
      <c r="N28">
        <v>4</v>
      </c>
      <c r="O28">
        <v>1252</v>
      </c>
      <c r="P28">
        <v>2295</v>
      </c>
      <c r="Q28">
        <v>4172</v>
      </c>
      <c r="R28">
        <v>5008</v>
      </c>
      <c r="S28">
        <v>9180</v>
      </c>
    </row>
    <row r="29" spans="1:19" x14ac:dyDescent="0.25">
      <c r="A29" t="s">
        <v>123</v>
      </c>
      <c r="B29" s="5">
        <v>44536</v>
      </c>
      <c r="C29">
        <v>6</v>
      </c>
      <c r="D29" t="s">
        <v>7</v>
      </c>
      <c r="E29">
        <v>2021</v>
      </c>
      <c r="F29">
        <v>27</v>
      </c>
      <c r="G29" t="s">
        <v>16</v>
      </c>
      <c r="H29" t="s">
        <v>5</v>
      </c>
      <c r="I29" t="s">
        <v>15</v>
      </c>
      <c r="J29" t="s">
        <v>14</v>
      </c>
      <c r="K29" t="s">
        <v>2</v>
      </c>
      <c r="L29" t="s">
        <v>1</v>
      </c>
      <c r="M29" t="s">
        <v>25</v>
      </c>
      <c r="N29">
        <v>1</v>
      </c>
      <c r="O29">
        <v>1252</v>
      </c>
      <c r="P29">
        <v>2295</v>
      </c>
      <c r="Q29">
        <v>1043</v>
      </c>
      <c r="R29">
        <v>1252</v>
      </c>
      <c r="S29">
        <v>2295</v>
      </c>
    </row>
    <row r="30" spans="1:19" x14ac:dyDescent="0.25">
      <c r="A30" t="s">
        <v>117</v>
      </c>
      <c r="B30" s="5">
        <v>44538</v>
      </c>
      <c r="C30">
        <v>8</v>
      </c>
      <c r="D30" t="s">
        <v>7</v>
      </c>
      <c r="E30">
        <v>2021</v>
      </c>
      <c r="F30">
        <v>30</v>
      </c>
      <c r="G30" t="s">
        <v>16</v>
      </c>
      <c r="H30" t="s">
        <v>12</v>
      </c>
      <c r="I30" t="s">
        <v>15</v>
      </c>
      <c r="J30" t="s">
        <v>14</v>
      </c>
      <c r="K30" t="s">
        <v>2</v>
      </c>
      <c r="L30" t="s">
        <v>1</v>
      </c>
      <c r="M30" t="s">
        <v>21</v>
      </c>
      <c r="N30">
        <v>4</v>
      </c>
      <c r="O30">
        <v>1266</v>
      </c>
      <c r="P30">
        <v>2320</v>
      </c>
      <c r="Q30">
        <v>4216</v>
      </c>
      <c r="R30">
        <v>5064</v>
      </c>
      <c r="S30">
        <v>9280</v>
      </c>
    </row>
    <row r="31" spans="1:19" x14ac:dyDescent="0.25">
      <c r="A31" t="s">
        <v>101</v>
      </c>
      <c r="B31" s="5">
        <v>44541</v>
      </c>
      <c r="C31">
        <v>11</v>
      </c>
      <c r="D31" t="s">
        <v>7</v>
      </c>
      <c r="E31">
        <v>2021</v>
      </c>
      <c r="F31">
        <v>27</v>
      </c>
      <c r="G31" t="s">
        <v>16</v>
      </c>
      <c r="H31" t="s">
        <v>5</v>
      </c>
      <c r="I31" t="s">
        <v>15</v>
      </c>
      <c r="J31" t="s">
        <v>14</v>
      </c>
      <c r="K31" t="s">
        <v>2</v>
      </c>
      <c r="L31" t="s">
        <v>1</v>
      </c>
      <c r="M31" t="s">
        <v>25</v>
      </c>
      <c r="N31">
        <v>1</v>
      </c>
      <c r="O31">
        <v>1252</v>
      </c>
      <c r="P31">
        <v>2295</v>
      </c>
      <c r="Q31">
        <v>1043</v>
      </c>
      <c r="R31">
        <v>1252</v>
      </c>
      <c r="S31">
        <v>2295</v>
      </c>
    </row>
    <row r="32" spans="1:19" x14ac:dyDescent="0.25">
      <c r="A32" t="s">
        <v>48</v>
      </c>
      <c r="B32" s="5">
        <v>44550</v>
      </c>
      <c r="C32">
        <v>20</v>
      </c>
      <c r="D32" t="s">
        <v>7</v>
      </c>
      <c r="E32">
        <v>2021</v>
      </c>
      <c r="F32">
        <v>29</v>
      </c>
      <c r="G32" t="s">
        <v>16</v>
      </c>
      <c r="H32" t="s">
        <v>5</v>
      </c>
      <c r="I32" t="s">
        <v>15</v>
      </c>
      <c r="J32" t="s">
        <v>14</v>
      </c>
      <c r="K32" t="s">
        <v>2</v>
      </c>
      <c r="L32" t="s">
        <v>1</v>
      </c>
      <c r="M32" t="s">
        <v>47</v>
      </c>
      <c r="N32">
        <v>3</v>
      </c>
      <c r="O32">
        <v>295</v>
      </c>
      <c r="P32">
        <v>540</v>
      </c>
      <c r="Q32">
        <v>735</v>
      </c>
      <c r="R32">
        <v>885</v>
      </c>
      <c r="S32">
        <v>1620</v>
      </c>
    </row>
    <row r="33" spans="1:19" x14ac:dyDescent="0.25">
      <c r="A33" t="s">
        <v>26</v>
      </c>
      <c r="B33" s="5">
        <v>44552</v>
      </c>
      <c r="C33">
        <v>22</v>
      </c>
      <c r="D33" t="s">
        <v>7</v>
      </c>
      <c r="E33">
        <v>2021</v>
      </c>
      <c r="F33">
        <v>27</v>
      </c>
      <c r="G33" t="s">
        <v>16</v>
      </c>
      <c r="H33" t="s">
        <v>12</v>
      </c>
      <c r="I33" t="s">
        <v>15</v>
      </c>
      <c r="J33" t="s">
        <v>14</v>
      </c>
      <c r="K33" t="s">
        <v>2</v>
      </c>
      <c r="L33" t="s">
        <v>1</v>
      </c>
      <c r="M33" t="s">
        <v>25</v>
      </c>
      <c r="N33">
        <v>1</v>
      </c>
      <c r="O33">
        <v>1252</v>
      </c>
      <c r="P33">
        <v>2295</v>
      </c>
      <c r="Q33">
        <v>1043</v>
      </c>
      <c r="R33">
        <v>1252</v>
      </c>
      <c r="S33">
        <v>2295</v>
      </c>
    </row>
    <row r="34" spans="1:19" x14ac:dyDescent="0.25">
      <c r="A34" t="s">
        <v>17</v>
      </c>
      <c r="B34" s="5">
        <v>44553</v>
      </c>
      <c r="C34">
        <v>23</v>
      </c>
      <c r="D34" t="s">
        <v>7</v>
      </c>
      <c r="E34">
        <v>2021</v>
      </c>
      <c r="F34">
        <v>31</v>
      </c>
      <c r="G34" t="s">
        <v>16</v>
      </c>
      <c r="H34" t="s">
        <v>12</v>
      </c>
      <c r="I34" t="s">
        <v>15</v>
      </c>
      <c r="J34" t="s">
        <v>14</v>
      </c>
      <c r="K34" t="s">
        <v>2</v>
      </c>
      <c r="L34" t="s">
        <v>1</v>
      </c>
      <c r="M34" t="s">
        <v>0</v>
      </c>
      <c r="N34">
        <v>1</v>
      </c>
      <c r="O34">
        <v>1252</v>
      </c>
      <c r="P34">
        <v>2295</v>
      </c>
      <c r="Q34">
        <v>1043</v>
      </c>
      <c r="R34">
        <v>1252</v>
      </c>
      <c r="S34">
        <v>2295</v>
      </c>
    </row>
    <row r="35" spans="1:19" x14ac:dyDescent="0.25">
      <c r="A35" t="s">
        <v>104</v>
      </c>
      <c r="B35" s="5">
        <v>44541</v>
      </c>
      <c r="C35">
        <v>11</v>
      </c>
      <c r="D35" t="s">
        <v>7</v>
      </c>
      <c r="E35">
        <v>2021</v>
      </c>
      <c r="F35">
        <v>24</v>
      </c>
      <c r="G35" t="s">
        <v>33</v>
      </c>
      <c r="H35" t="s">
        <v>12</v>
      </c>
      <c r="I35" t="s">
        <v>29</v>
      </c>
      <c r="J35" t="s">
        <v>28</v>
      </c>
      <c r="K35" t="s">
        <v>2</v>
      </c>
      <c r="L35" t="s">
        <v>1</v>
      </c>
      <c r="M35" t="s">
        <v>27</v>
      </c>
      <c r="N35">
        <v>3</v>
      </c>
      <c r="O35">
        <v>1252</v>
      </c>
      <c r="P35">
        <v>2295</v>
      </c>
      <c r="Q35">
        <v>3129</v>
      </c>
      <c r="R35">
        <v>3756</v>
      </c>
      <c r="S35">
        <v>6885</v>
      </c>
    </row>
    <row r="36" spans="1:19" x14ac:dyDescent="0.25">
      <c r="A36" t="s">
        <v>82</v>
      </c>
      <c r="B36" s="5">
        <v>44546</v>
      </c>
      <c r="C36">
        <v>16</v>
      </c>
      <c r="D36" t="s">
        <v>7</v>
      </c>
      <c r="E36">
        <v>2021</v>
      </c>
      <c r="F36">
        <v>27</v>
      </c>
      <c r="G36" t="s">
        <v>16</v>
      </c>
      <c r="H36" t="s">
        <v>12</v>
      </c>
      <c r="I36" t="s">
        <v>29</v>
      </c>
      <c r="J36" t="s">
        <v>81</v>
      </c>
      <c r="K36" t="s">
        <v>2</v>
      </c>
      <c r="L36" t="s">
        <v>1</v>
      </c>
      <c r="M36" t="s">
        <v>65</v>
      </c>
      <c r="N36">
        <v>1</v>
      </c>
      <c r="O36">
        <v>1266</v>
      </c>
      <c r="P36">
        <v>2320</v>
      </c>
      <c r="Q36">
        <v>1054</v>
      </c>
      <c r="R36">
        <v>1266</v>
      </c>
      <c r="S36">
        <v>2320</v>
      </c>
    </row>
    <row r="37" spans="1:19" x14ac:dyDescent="0.25">
      <c r="A37" t="s">
        <v>74</v>
      </c>
      <c r="B37" s="5">
        <v>44548</v>
      </c>
      <c r="C37">
        <v>18</v>
      </c>
      <c r="D37" t="s">
        <v>7</v>
      </c>
      <c r="E37">
        <v>2021</v>
      </c>
      <c r="F37">
        <v>24</v>
      </c>
      <c r="G37" t="s">
        <v>33</v>
      </c>
      <c r="H37" t="s">
        <v>12</v>
      </c>
      <c r="I37" t="s">
        <v>29</v>
      </c>
      <c r="J37" t="s">
        <v>73</v>
      </c>
      <c r="K37" t="s">
        <v>2</v>
      </c>
      <c r="L37" t="s">
        <v>1</v>
      </c>
      <c r="M37" t="s">
        <v>21</v>
      </c>
      <c r="N37">
        <v>3</v>
      </c>
      <c r="O37">
        <v>1266</v>
      </c>
      <c r="P37">
        <v>2320</v>
      </c>
      <c r="Q37">
        <v>3162</v>
      </c>
      <c r="R37">
        <v>3798</v>
      </c>
      <c r="S37">
        <v>6960</v>
      </c>
    </row>
    <row r="38" spans="1:19" x14ac:dyDescent="0.25">
      <c r="A38" t="s">
        <v>69</v>
      </c>
      <c r="B38" s="5">
        <v>44548</v>
      </c>
      <c r="C38">
        <v>18</v>
      </c>
      <c r="D38" t="s">
        <v>7</v>
      </c>
      <c r="E38">
        <v>2021</v>
      </c>
      <c r="F38">
        <v>26</v>
      </c>
      <c r="G38" t="s">
        <v>16</v>
      </c>
      <c r="H38" t="s">
        <v>5</v>
      </c>
      <c r="I38" t="s">
        <v>29</v>
      </c>
      <c r="J38" t="s">
        <v>28</v>
      </c>
      <c r="K38" t="s">
        <v>2</v>
      </c>
      <c r="L38" t="s">
        <v>1</v>
      </c>
      <c r="M38" t="s">
        <v>25</v>
      </c>
      <c r="N38">
        <v>1</v>
      </c>
      <c r="O38">
        <v>1252</v>
      </c>
      <c r="P38">
        <v>2295</v>
      </c>
      <c r="Q38">
        <v>1043</v>
      </c>
      <c r="R38">
        <v>1252</v>
      </c>
      <c r="S38">
        <v>2295</v>
      </c>
    </row>
    <row r="39" spans="1:19" x14ac:dyDescent="0.25">
      <c r="A39" t="s">
        <v>67</v>
      </c>
      <c r="B39" s="5">
        <v>44549</v>
      </c>
      <c r="C39">
        <v>19</v>
      </c>
      <c r="D39" t="s">
        <v>7</v>
      </c>
      <c r="E39">
        <v>2021</v>
      </c>
      <c r="F39">
        <v>17</v>
      </c>
      <c r="G39" t="s">
        <v>33</v>
      </c>
      <c r="H39" t="s">
        <v>5</v>
      </c>
      <c r="I39" t="s">
        <v>29</v>
      </c>
      <c r="J39" t="s">
        <v>66</v>
      </c>
      <c r="K39" t="s">
        <v>2</v>
      </c>
      <c r="L39" t="s">
        <v>1</v>
      </c>
      <c r="M39" t="s">
        <v>65</v>
      </c>
      <c r="N39">
        <v>4</v>
      </c>
      <c r="O39">
        <v>1266</v>
      </c>
      <c r="P39">
        <v>2320</v>
      </c>
      <c r="Q39">
        <v>4216</v>
      </c>
      <c r="R39">
        <v>5064</v>
      </c>
      <c r="S39">
        <v>9280</v>
      </c>
    </row>
    <row r="40" spans="1:19" x14ac:dyDescent="0.25">
      <c r="A40" t="s">
        <v>62</v>
      </c>
      <c r="B40" s="5">
        <v>44549</v>
      </c>
      <c r="C40">
        <v>19</v>
      </c>
      <c r="D40" t="s">
        <v>7</v>
      </c>
      <c r="E40">
        <v>2021</v>
      </c>
      <c r="F40">
        <v>25</v>
      </c>
      <c r="G40" t="s">
        <v>16</v>
      </c>
      <c r="H40" t="s">
        <v>5</v>
      </c>
      <c r="I40" t="s">
        <v>29</v>
      </c>
      <c r="J40" t="s">
        <v>28</v>
      </c>
      <c r="K40" t="s">
        <v>2</v>
      </c>
      <c r="L40" t="s">
        <v>1</v>
      </c>
      <c r="M40" t="s">
        <v>27</v>
      </c>
      <c r="N40">
        <v>4</v>
      </c>
      <c r="O40">
        <v>1252</v>
      </c>
      <c r="P40">
        <v>2295</v>
      </c>
      <c r="Q40">
        <v>4172</v>
      </c>
      <c r="R40">
        <v>5008</v>
      </c>
      <c r="S40">
        <v>9180</v>
      </c>
    </row>
    <row r="41" spans="1:19" x14ac:dyDescent="0.25">
      <c r="A41" t="s">
        <v>43</v>
      </c>
      <c r="B41" s="5">
        <v>44551</v>
      </c>
      <c r="C41">
        <v>21</v>
      </c>
      <c r="D41" t="s">
        <v>7</v>
      </c>
      <c r="E41">
        <v>2021</v>
      </c>
      <c r="F41">
        <v>26</v>
      </c>
      <c r="G41" t="s">
        <v>16</v>
      </c>
      <c r="H41" t="s">
        <v>5</v>
      </c>
      <c r="I41" t="s">
        <v>29</v>
      </c>
      <c r="J41" t="s">
        <v>42</v>
      </c>
      <c r="K41" t="s">
        <v>2</v>
      </c>
      <c r="L41" t="s">
        <v>1</v>
      </c>
      <c r="M41" t="s">
        <v>21</v>
      </c>
      <c r="N41">
        <v>3</v>
      </c>
      <c r="O41">
        <v>1266</v>
      </c>
      <c r="P41">
        <v>2320</v>
      </c>
      <c r="Q41">
        <v>3162</v>
      </c>
      <c r="R41">
        <v>3798</v>
      </c>
      <c r="S41">
        <v>6960</v>
      </c>
    </row>
    <row r="42" spans="1:19" x14ac:dyDescent="0.25">
      <c r="A42" t="s">
        <v>30</v>
      </c>
      <c r="B42" s="5">
        <v>44552</v>
      </c>
      <c r="C42">
        <v>22</v>
      </c>
      <c r="D42" t="s">
        <v>7</v>
      </c>
      <c r="E42">
        <v>2021</v>
      </c>
      <c r="F42">
        <v>25</v>
      </c>
      <c r="G42" t="s">
        <v>16</v>
      </c>
      <c r="H42" t="s">
        <v>5</v>
      </c>
      <c r="I42" t="s">
        <v>29</v>
      </c>
      <c r="J42" t="s">
        <v>28</v>
      </c>
      <c r="K42" t="s">
        <v>2</v>
      </c>
      <c r="L42" t="s">
        <v>1</v>
      </c>
      <c r="M42" t="s">
        <v>27</v>
      </c>
      <c r="N42">
        <v>1</v>
      </c>
      <c r="O42">
        <v>1252</v>
      </c>
      <c r="P42">
        <v>2295</v>
      </c>
      <c r="Q42">
        <v>1043</v>
      </c>
      <c r="R42">
        <v>1252</v>
      </c>
      <c r="S42">
        <v>2295</v>
      </c>
    </row>
    <row r="43" spans="1:19" x14ac:dyDescent="0.25">
      <c r="A43" t="s">
        <v>127</v>
      </c>
      <c r="B43" s="5">
        <v>44535</v>
      </c>
      <c r="D43" t="s">
        <v>7</v>
      </c>
      <c r="E43">
        <v>2021</v>
      </c>
      <c r="F43">
        <v>42</v>
      </c>
      <c r="G43" t="s">
        <v>6</v>
      </c>
      <c r="H43" t="s">
        <v>5</v>
      </c>
      <c r="I43" t="s">
        <v>23</v>
      </c>
      <c r="J43" t="s">
        <v>75</v>
      </c>
      <c r="K43" t="s">
        <v>2</v>
      </c>
      <c r="L43" t="s">
        <v>1</v>
      </c>
      <c r="M43" t="s">
        <v>27</v>
      </c>
      <c r="N43">
        <v>4</v>
      </c>
      <c r="O43">
        <v>1252</v>
      </c>
      <c r="P43">
        <v>2295</v>
      </c>
      <c r="Q43">
        <v>4172</v>
      </c>
      <c r="R43">
        <v>5008</v>
      </c>
      <c r="S43">
        <v>9180</v>
      </c>
    </row>
    <row r="44" spans="1:19" x14ac:dyDescent="0.25">
      <c r="A44" t="s">
        <v>113</v>
      </c>
      <c r="B44" s="5">
        <v>44539</v>
      </c>
      <c r="C44">
        <v>9</v>
      </c>
      <c r="D44" t="s">
        <v>7</v>
      </c>
      <c r="E44">
        <v>2021</v>
      </c>
      <c r="F44">
        <v>41</v>
      </c>
      <c r="G44" t="s">
        <v>6</v>
      </c>
      <c r="H44" t="s">
        <v>12</v>
      </c>
      <c r="I44" t="s">
        <v>23</v>
      </c>
      <c r="J44" t="s">
        <v>112</v>
      </c>
      <c r="K44" t="s">
        <v>2</v>
      </c>
      <c r="L44" t="s">
        <v>1</v>
      </c>
      <c r="M44" t="s">
        <v>18</v>
      </c>
      <c r="N44">
        <v>1</v>
      </c>
      <c r="O44">
        <v>1266</v>
      </c>
      <c r="P44">
        <v>2320</v>
      </c>
      <c r="Q44">
        <v>1054</v>
      </c>
      <c r="R44">
        <v>1266</v>
      </c>
      <c r="S44">
        <v>2320</v>
      </c>
    </row>
    <row r="45" spans="1:19" x14ac:dyDescent="0.25">
      <c r="A45" t="s">
        <v>78</v>
      </c>
      <c r="B45" s="5">
        <v>44547</v>
      </c>
      <c r="C45">
        <v>17</v>
      </c>
      <c r="D45" t="s">
        <v>7</v>
      </c>
      <c r="E45">
        <v>2021</v>
      </c>
      <c r="F45">
        <v>42</v>
      </c>
      <c r="G45" t="s">
        <v>6</v>
      </c>
      <c r="H45" t="s">
        <v>12</v>
      </c>
      <c r="I45" t="s">
        <v>23</v>
      </c>
      <c r="J45" t="s">
        <v>75</v>
      </c>
      <c r="K45" t="s">
        <v>2</v>
      </c>
      <c r="L45" t="s">
        <v>1</v>
      </c>
      <c r="M45" t="s">
        <v>65</v>
      </c>
      <c r="N45">
        <v>1</v>
      </c>
      <c r="O45">
        <v>1266</v>
      </c>
      <c r="P45">
        <v>2320</v>
      </c>
      <c r="Q45">
        <v>1054</v>
      </c>
      <c r="R45">
        <v>1266</v>
      </c>
      <c r="S45">
        <v>2320</v>
      </c>
    </row>
    <row r="46" spans="1:19" x14ac:dyDescent="0.25">
      <c r="A46" t="s">
        <v>76</v>
      </c>
      <c r="B46" s="5">
        <v>44548</v>
      </c>
      <c r="C46">
        <v>18</v>
      </c>
      <c r="D46" t="s">
        <v>7</v>
      </c>
      <c r="E46">
        <v>2021</v>
      </c>
      <c r="F46">
        <v>38</v>
      </c>
      <c r="G46" t="s">
        <v>6</v>
      </c>
      <c r="H46" t="s">
        <v>12</v>
      </c>
      <c r="I46" t="s">
        <v>23</v>
      </c>
      <c r="J46" t="s">
        <v>75</v>
      </c>
      <c r="K46" t="s">
        <v>2</v>
      </c>
      <c r="L46" t="s">
        <v>1</v>
      </c>
      <c r="M46" t="s">
        <v>65</v>
      </c>
      <c r="N46">
        <v>4</v>
      </c>
      <c r="O46">
        <v>1266</v>
      </c>
      <c r="P46">
        <v>2320</v>
      </c>
      <c r="Q46">
        <v>4216</v>
      </c>
      <c r="R46">
        <v>5064</v>
      </c>
      <c r="S46">
        <v>9280</v>
      </c>
    </row>
    <row r="47" spans="1:19" x14ac:dyDescent="0.25">
      <c r="A47" t="s">
        <v>53</v>
      </c>
      <c r="B47" s="5">
        <v>44549</v>
      </c>
      <c r="C47">
        <v>19</v>
      </c>
      <c r="D47" t="s">
        <v>7</v>
      </c>
      <c r="E47">
        <v>2021</v>
      </c>
      <c r="F47">
        <v>56</v>
      </c>
      <c r="G47" t="s">
        <v>6</v>
      </c>
      <c r="H47" t="s">
        <v>12</v>
      </c>
      <c r="I47" t="s">
        <v>23</v>
      </c>
      <c r="J47" t="s">
        <v>22</v>
      </c>
      <c r="K47" t="s">
        <v>2</v>
      </c>
      <c r="L47" t="s">
        <v>1</v>
      </c>
      <c r="M47" t="s">
        <v>25</v>
      </c>
      <c r="N47">
        <v>2</v>
      </c>
      <c r="O47">
        <v>1252</v>
      </c>
      <c r="P47">
        <v>2295</v>
      </c>
      <c r="Q47">
        <v>2086</v>
      </c>
      <c r="R47">
        <v>2504</v>
      </c>
      <c r="S47">
        <v>4590</v>
      </c>
    </row>
    <row r="48" spans="1:19" x14ac:dyDescent="0.25">
      <c r="A48" t="s">
        <v>24</v>
      </c>
      <c r="B48" s="5">
        <v>44552</v>
      </c>
      <c r="C48">
        <v>22</v>
      </c>
      <c r="D48" t="s">
        <v>7</v>
      </c>
      <c r="E48">
        <v>2021</v>
      </c>
      <c r="F48">
        <v>41</v>
      </c>
      <c r="G48" t="s">
        <v>6</v>
      </c>
      <c r="H48" t="s">
        <v>5</v>
      </c>
      <c r="I48" t="s">
        <v>23</v>
      </c>
      <c r="J48" t="s">
        <v>22</v>
      </c>
      <c r="K48" t="s">
        <v>2</v>
      </c>
      <c r="L48" t="s">
        <v>1</v>
      </c>
      <c r="M48" t="s">
        <v>21</v>
      </c>
      <c r="N48">
        <v>1</v>
      </c>
      <c r="O48">
        <v>1266</v>
      </c>
      <c r="P48">
        <v>2320</v>
      </c>
      <c r="Q48">
        <v>1054</v>
      </c>
      <c r="R48">
        <v>1266</v>
      </c>
      <c r="S48">
        <v>2320</v>
      </c>
    </row>
    <row r="49" spans="1:19" x14ac:dyDescent="0.25">
      <c r="A49" t="s">
        <v>135</v>
      </c>
      <c r="B49" s="5">
        <v>44531</v>
      </c>
      <c r="C49">
        <v>1</v>
      </c>
      <c r="D49" t="s">
        <v>7</v>
      </c>
      <c r="E49">
        <v>2021</v>
      </c>
      <c r="F49">
        <v>44</v>
      </c>
      <c r="G49" t="s">
        <v>6</v>
      </c>
      <c r="H49" t="s">
        <v>5</v>
      </c>
      <c r="I49" t="s">
        <v>40</v>
      </c>
      <c r="J49" t="s">
        <v>39</v>
      </c>
      <c r="K49" t="s">
        <v>2</v>
      </c>
      <c r="L49" t="s">
        <v>1</v>
      </c>
      <c r="M49" t="s">
        <v>18</v>
      </c>
      <c r="N49">
        <v>1</v>
      </c>
      <c r="O49">
        <v>1266</v>
      </c>
      <c r="P49">
        <v>2320</v>
      </c>
      <c r="Q49">
        <v>1054</v>
      </c>
      <c r="R49">
        <v>1266</v>
      </c>
      <c r="S49">
        <v>2320</v>
      </c>
    </row>
    <row r="50" spans="1:19" x14ac:dyDescent="0.25">
      <c r="A50" t="s">
        <v>131</v>
      </c>
      <c r="B50" s="5">
        <v>44533</v>
      </c>
      <c r="C50">
        <v>3</v>
      </c>
      <c r="D50" t="s">
        <v>7</v>
      </c>
      <c r="E50">
        <v>2021</v>
      </c>
      <c r="F50">
        <v>24</v>
      </c>
      <c r="G50" t="s">
        <v>33</v>
      </c>
      <c r="H50" t="s">
        <v>12</v>
      </c>
      <c r="I50" t="s">
        <v>40</v>
      </c>
      <c r="J50" t="s">
        <v>39</v>
      </c>
      <c r="K50" t="s">
        <v>2</v>
      </c>
      <c r="L50" t="s">
        <v>1</v>
      </c>
      <c r="M50" t="s">
        <v>27</v>
      </c>
      <c r="N50">
        <v>1</v>
      </c>
      <c r="O50">
        <v>1252</v>
      </c>
      <c r="P50">
        <v>2295</v>
      </c>
      <c r="Q50">
        <v>1043</v>
      </c>
      <c r="R50">
        <v>1252</v>
      </c>
      <c r="S50">
        <v>2295</v>
      </c>
    </row>
    <row r="51" spans="1:19" x14ac:dyDescent="0.25">
      <c r="A51" t="s">
        <v>124</v>
      </c>
      <c r="B51" s="5">
        <v>44536</v>
      </c>
      <c r="C51">
        <v>6</v>
      </c>
      <c r="D51" t="s">
        <v>7</v>
      </c>
      <c r="E51">
        <v>2021</v>
      </c>
      <c r="F51">
        <v>23</v>
      </c>
      <c r="G51" t="s">
        <v>33</v>
      </c>
      <c r="H51" t="s">
        <v>5</v>
      </c>
      <c r="I51" t="s">
        <v>40</v>
      </c>
      <c r="J51" t="s">
        <v>39</v>
      </c>
      <c r="K51" t="s">
        <v>2</v>
      </c>
      <c r="L51" t="s">
        <v>1</v>
      </c>
      <c r="M51" t="s">
        <v>38</v>
      </c>
      <c r="N51">
        <v>3</v>
      </c>
      <c r="O51">
        <v>420</v>
      </c>
      <c r="P51">
        <v>769</v>
      </c>
      <c r="Q51">
        <v>1047</v>
      </c>
      <c r="R51">
        <v>1260</v>
      </c>
      <c r="S51">
        <v>2307</v>
      </c>
    </row>
    <row r="52" spans="1:19" x14ac:dyDescent="0.25">
      <c r="A52" t="s">
        <v>121</v>
      </c>
      <c r="B52" s="5">
        <v>44536</v>
      </c>
      <c r="C52">
        <v>6</v>
      </c>
      <c r="D52" t="s">
        <v>7</v>
      </c>
      <c r="E52">
        <v>2021</v>
      </c>
      <c r="F52">
        <v>47</v>
      </c>
      <c r="G52" t="s">
        <v>6</v>
      </c>
      <c r="H52" t="s">
        <v>5</v>
      </c>
      <c r="I52" t="s">
        <v>40</v>
      </c>
      <c r="J52" t="s">
        <v>39</v>
      </c>
      <c r="K52" t="s">
        <v>2</v>
      </c>
      <c r="L52" t="s">
        <v>1</v>
      </c>
      <c r="M52" t="s">
        <v>21</v>
      </c>
      <c r="N52">
        <v>1</v>
      </c>
      <c r="O52">
        <v>1266</v>
      </c>
      <c r="P52">
        <v>2320</v>
      </c>
      <c r="Q52">
        <v>1054</v>
      </c>
      <c r="R52">
        <v>1266</v>
      </c>
      <c r="S52">
        <v>2320</v>
      </c>
    </row>
    <row r="53" spans="1:19" x14ac:dyDescent="0.25">
      <c r="A53" t="s">
        <v>109</v>
      </c>
      <c r="B53" s="5">
        <v>44540</v>
      </c>
      <c r="C53">
        <v>10</v>
      </c>
      <c r="D53" t="s">
        <v>7</v>
      </c>
      <c r="E53">
        <v>2021</v>
      </c>
      <c r="F53">
        <v>26</v>
      </c>
      <c r="G53" t="s">
        <v>16</v>
      </c>
      <c r="H53" t="s">
        <v>5</v>
      </c>
      <c r="I53" t="s">
        <v>40</v>
      </c>
      <c r="J53" t="s">
        <v>39</v>
      </c>
      <c r="K53" t="s">
        <v>2</v>
      </c>
      <c r="L53" t="s">
        <v>1</v>
      </c>
      <c r="M53" t="s">
        <v>27</v>
      </c>
      <c r="N53">
        <v>1</v>
      </c>
      <c r="O53">
        <v>1252</v>
      </c>
      <c r="P53">
        <v>2295</v>
      </c>
      <c r="Q53">
        <v>1043</v>
      </c>
      <c r="R53">
        <v>1252</v>
      </c>
      <c r="S53">
        <v>2295</v>
      </c>
    </row>
    <row r="54" spans="1:19" x14ac:dyDescent="0.25">
      <c r="A54" t="s">
        <v>90</v>
      </c>
      <c r="B54" s="5">
        <v>44543</v>
      </c>
      <c r="C54">
        <v>13</v>
      </c>
      <c r="D54" t="s">
        <v>7</v>
      </c>
      <c r="E54">
        <v>2021</v>
      </c>
      <c r="F54">
        <v>44</v>
      </c>
      <c r="G54" t="s">
        <v>6</v>
      </c>
      <c r="H54" t="s">
        <v>12</v>
      </c>
      <c r="I54" t="s">
        <v>40</v>
      </c>
      <c r="J54" t="s">
        <v>39</v>
      </c>
      <c r="K54" t="s">
        <v>2</v>
      </c>
      <c r="L54" t="s">
        <v>1</v>
      </c>
      <c r="M54" t="s">
        <v>27</v>
      </c>
      <c r="N54">
        <v>1</v>
      </c>
      <c r="O54">
        <v>1252</v>
      </c>
      <c r="P54">
        <v>2295</v>
      </c>
      <c r="Q54">
        <v>1043</v>
      </c>
      <c r="R54">
        <v>1252</v>
      </c>
      <c r="S54">
        <v>2295</v>
      </c>
    </row>
    <row r="55" spans="1:19" x14ac:dyDescent="0.25">
      <c r="A55" t="s">
        <v>89</v>
      </c>
      <c r="B55" s="5">
        <v>44543</v>
      </c>
      <c r="C55">
        <v>13</v>
      </c>
      <c r="D55" t="s">
        <v>7</v>
      </c>
      <c r="E55">
        <v>2021</v>
      </c>
      <c r="F55">
        <v>49</v>
      </c>
      <c r="G55" t="s">
        <v>6</v>
      </c>
      <c r="H55" t="s">
        <v>5</v>
      </c>
      <c r="I55" t="s">
        <v>40</v>
      </c>
      <c r="J55" t="s">
        <v>39</v>
      </c>
      <c r="K55" t="s">
        <v>2</v>
      </c>
      <c r="L55" t="s">
        <v>1</v>
      </c>
      <c r="M55" t="s">
        <v>27</v>
      </c>
      <c r="N55">
        <v>1</v>
      </c>
      <c r="O55">
        <v>1252</v>
      </c>
      <c r="P55">
        <v>2295</v>
      </c>
      <c r="Q55">
        <v>1043</v>
      </c>
      <c r="R55">
        <v>1252</v>
      </c>
      <c r="S55">
        <v>2295</v>
      </c>
    </row>
    <row r="56" spans="1:19" x14ac:dyDescent="0.25">
      <c r="A56" t="s">
        <v>72</v>
      </c>
      <c r="B56" s="5">
        <v>44548</v>
      </c>
      <c r="C56">
        <v>18</v>
      </c>
      <c r="D56" t="s">
        <v>7</v>
      </c>
      <c r="E56">
        <v>2021</v>
      </c>
      <c r="F56">
        <v>26</v>
      </c>
      <c r="G56" t="s">
        <v>16</v>
      </c>
      <c r="H56" t="s">
        <v>12</v>
      </c>
      <c r="I56" t="s">
        <v>40</v>
      </c>
      <c r="J56" t="s">
        <v>39</v>
      </c>
      <c r="K56" t="s">
        <v>2</v>
      </c>
      <c r="L56" t="s">
        <v>1</v>
      </c>
      <c r="M56" t="s">
        <v>71</v>
      </c>
      <c r="N56">
        <v>3</v>
      </c>
      <c r="O56">
        <v>420</v>
      </c>
      <c r="P56">
        <v>769</v>
      </c>
      <c r="Q56">
        <v>1047</v>
      </c>
      <c r="R56">
        <v>1260</v>
      </c>
      <c r="S56">
        <v>2307</v>
      </c>
    </row>
    <row r="57" spans="1:19" x14ac:dyDescent="0.25">
      <c r="A57" t="s">
        <v>41</v>
      </c>
      <c r="B57" s="5">
        <v>44551</v>
      </c>
      <c r="C57">
        <v>21</v>
      </c>
      <c r="D57" t="s">
        <v>7</v>
      </c>
      <c r="E57">
        <v>2021</v>
      </c>
      <c r="F57">
        <v>23</v>
      </c>
      <c r="G57" t="s">
        <v>33</v>
      </c>
      <c r="H57" t="s">
        <v>5</v>
      </c>
      <c r="I57" t="s">
        <v>40</v>
      </c>
      <c r="J57" t="s">
        <v>39</v>
      </c>
      <c r="K57" t="s">
        <v>2</v>
      </c>
      <c r="L57" t="s">
        <v>1</v>
      </c>
      <c r="M57" t="s">
        <v>38</v>
      </c>
      <c r="N57">
        <v>2</v>
      </c>
      <c r="O57">
        <v>420</v>
      </c>
      <c r="P57">
        <v>769</v>
      </c>
      <c r="Q57">
        <v>698</v>
      </c>
      <c r="R57">
        <v>840</v>
      </c>
      <c r="S57">
        <v>1538</v>
      </c>
    </row>
    <row r="58" spans="1:19" x14ac:dyDescent="0.25">
      <c r="A58" t="s">
        <v>136</v>
      </c>
      <c r="B58" s="5">
        <v>44531</v>
      </c>
      <c r="C58">
        <v>1</v>
      </c>
      <c r="D58" t="s">
        <v>7</v>
      </c>
      <c r="E58">
        <v>2021</v>
      </c>
      <c r="F58">
        <v>39</v>
      </c>
      <c r="G58" t="s">
        <v>6</v>
      </c>
      <c r="H58" t="s">
        <v>12</v>
      </c>
      <c r="I58" t="s">
        <v>11</v>
      </c>
      <c r="J58" t="s">
        <v>10</v>
      </c>
      <c r="K58" t="s">
        <v>2</v>
      </c>
      <c r="L58" t="s">
        <v>1</v>
      </c>
      <c r="M58" t="s">
        <v>25</v>
      </c>
      <c r="N58">
        <v>4</v>
      </c>
      <c r="O58">
        <v>1252</v>
      </c>
      <c r="P58">
        <v>2295</v>
      </c>
      <c r="Q58">
        <v>4172</v>
      </c>
      <c r="R58">
        <v>5008</v>
      </c>
      <c r="S58">
        <v>9180</v>
      </c>
    </row>
    <row r="59" spans="1:19" x14ac:dyDescent="0.25">
      <c r="A59" t="s">
        <v>134</v>
      </c>
      <c r="B59" s="5">
        <v>44532</v>
      </c>
      <c r="C59">
        <v>2</v>
      </c>
      <c r="D59" t="s">
        <v>7</v>
      </c>
      <c r="E59">
        <v>2021</v>
      </c>
      <c r="F59">
        <v>37</v>
      </c>
      <c r="G59" t="s">
        <v>6</v>
      </c>
      <c r="H59" t="s">
        <v>5</v>
      </c>
      <c r="I59" t="s">
        <v>11</v>
      </c>
      <c r="J59" t="s">
        <v>10</v>
      </c>
      <c r="K59" t="s">
        <v>2</v>
      </c>
      <c r="L59" t="s">
        <v>1</v>
      </c>
      <c r="M59" t="s">
        <v>38</v>
      </c>
      <c r="N59">
        <v>2</v>
      </c>
      <c r="O59">
        <v>420</v>
      </c>
      <c r="P59">
        <v>769</v>
      </c>
      <c r="Q59">
        <v>698</v>
      </c>
      <c r="R59">
        <v>840</v>
      </c>
      <c r="S59">
        <v>1538</v>
      </c>
    </row>
    <row r="60" spans="1:19" x14ac:dyDescent="0.25">
      <c r="A60" t="s">
        <v>132</v>
      </c>
      <c r="B60" s="5">
        <v>44533</v>
      </c>
      <c r="C60">
        <v>3</v>
      </c>
      <c r="D60" t="s">
        <v>7</v>
      </c>
      <c r="E60">
        <v>2021</v>
      </c>
      <c r="F60">
        <v>37</v>
      </c>
      <c r="G60" t="s">
        <v>6</v>
      </c>
      <c r="H60" t="s">
        <v>12</v>
      </c>
      <c r="I60" t="s">
        <v>11</v>
      </c>
      <c r="J60" t="s">
        <v>10</v>
      </c>
      <c r="K60" t="s">
        <v>2</v>
      </c>
      <c r="L60" t="s">
        <v>1</v>
      </c>
      <c r="M60" t="s">
        <v>25</v>
      </c>
      <c r="N60">
        <v>2</v>
      </c>
      <c r="O60">
        <v>1252</v>
      </c>
      <c r="P60">
        <v>2295</v>
      </c>
      <c r="Q60">
        <v>2086</v>
      </c>
      <c r="R60">
        <v>2504</v>
      </c>
      <c r="S60">
        <v>4590</v>
      </c>
    </row>
    <row r="61" spans="1:19" x14ac:dyDescent="0.25">
      <c r="A61" t="s">
        <v>130</v>
      </c>
      <c r="B61" s="5">
        <v>44533</v>
      </c>
      <c r="C61">
        <v>3</v>
      </c>
      <c r="D61" t="s">
        <v>7</v>
      </c>
      <c r="E61">
        <v>2021</v>
      </c>
      <c r="F61">
        <v>37</v>
      </c>
      <c r="G61" t="s">
        <v>6</v>
      </c>
      <c r="H61" t="s">
        <v>5</v>
      </c>
      <c r="I61" t="s">
        <v>11</v>
      </c>
      <c r="J61" t="s">
        <v>36</v>
      </c>
      <c r="K61" t="s">
        <v>2</v>
      </c>
      <c r="L61" t="s">
        <v>1</v>
      </c>
      <c r="M61" t="s">
        <v>25</v>
      </c>
      <c r="N61">
        <v>1</v>
      </c>
      <c r="O61">
        <v>1252</v>
      </c>
      <c r="P61">
        <v>2295</v>
      </c>
      <c r="Q61">
        <v>1043</v>
      </c>
      <c r="R61">
        <v>1252</v>
      </c>
      <c r="S61">
        <v>2295</v>
      </c>
    </row>
    <row r="62" spans="1:19" x14ac:dyDescent="0.25">
      <c r="A62" t="s">
        <v>128</v>
      </c>
      <c r="B62" s="5">
        <v>44535</v>
      </c>
      <c r="C62">
        <v>5</v>
      </c>
      <c r="D62" t="s">
        <v>7</v>
      </c>
      <c r="E62">
        <v>2021</v>
      </c>
      <c r="F62">
        <v>39</v>
      </c>
      <c r="G62" t="s">
        <v>6</v>
      </c>
      <c r="H62" t="s">
        <v>12</v>
      </c>
      <c r="I62" t="s">
        <v>11</v>
      </c>
      <c r="J62" t="s">
        <v>10</v>
      </c>
      <c r="K62" t="s">
        <v>2</v>
      </c>
      <c r="L62" t="s">
        <v>1</v>
      </c>
      <c r="M62" t="s">
        <v>25</v>
      </c>
      <c r="N62">
        <v>4</v>
      </c>
      <c r="O62">
        <v>1252</v>
      </c>
      <c r="P62">
        <v>2295</v>
      </c>
      <c r="Q62">
        <v>4172</v>
      </c>
      <c r="R62">
        <v>5008</v>
      </c>
      <c r="S62">
        <v>9180</v>
      </c>
    </row>
    <row r="63" spans="1:19" x14ac:dyDescent="0.25">
      <c r="A63" t="s">
        <v>125</v>
      </c>
      <c r="B63" s="5">
        <v>44535</v>
      </c>
      <c r="C63">
        <v>5</v>
      </c>
      <c r="D63" t="s">
        <v>7</v>
      </c>
      <c r="E63">
        <v>2021</v>
      </c>
      <c r="F63">
        <v>37</v>
      </c>
      <c r="G63" t="s">
        <v>6</v>
      </c>
      <c r="H63" t="s">
        <v>12</v>
      </c>
      <c r="I63" t="s">
        <v>11</v>
      </c>
      <c r="J63" t="s">
        <v>10</v>
      </c>
      <c r="K63" t="s">
        <v>2</v>
      </c>
      <c r="L63" t="s">
        <v>1</v>
      </c>
      <c r="M63" t="s">
        <v>25</v>
      </c>
      <c r="N63">
        <v>1</v>
      </c>
      <c r="O63">
        <v>1252</v>
      </c>
      <c r="P63">
        <v>2295</v>
      </c>
      <c r="Q63">
        <v>1043</v>
      </c>
      <c r="R63">
        <v>1252</v>
      </c>
      <c r="S63">
        <v>2295</v>
      </c>
    </row>
    <row r="64" spans="1:19" x14ac:dyDescent="0.25">
      <c r="A64" t="s">
        <v>120</v>
      </c>
      <c r="B64" s="5">
        <v>44537</v>
      </c>
      <c r="C64">
        <v>7</v>
      </c>
      <c r="D64" t="s">
        <v>7</v>
      </c>
      <c r="E64">
        <v>2021</v>
      </c>
      <c r="F64">
        <v>30</v>
      </c>
      <c r="G64" t="s">
        <v>16</v>
      </c>
      <c r="H64" t="s">
        <v>5</v>
      </c>
      <c r="I64" t="s">
        <v>11</v>
      </c>
      <c r="J64" t="s">
        <v>10</v>
      </c>
      <c r="K64" t="s">
        <v>2</v>
      </c>
      <c r="L64" t="s">
        <v>1</v>
      </c>
      <c r="M64" t="s">
        <v>102</v>
      </c>
      <c r="N64">
        <v>4</v>
      </c>
      <c r="O64">
        <v>420</v>
      </c>
      <c r="P64">
        <v>769</v>
      </c>
      <c r="Q64">
        <v>1396</v>
      </c>
      <c r="R64">
        <v>1680</v>
      </c>
      <c r="S64">
        <v>3076</v>
      </c>
    </row>
    <row r="65" spans="1:19" x14ac:dyDescent="0.25">
      <c r="A65" t="s">
        <v>119</v>
      </c>
      <c r="B65" s="5">
        <v>44537</v>
      </c>
      <c r="C65">
        <v>7</v>
      </c>
      <c r="D65" t="s">
        <v>7</v>
      </c>
      <c r="E65">
        <v>2021</v>
      </c>
      <c r="F65">
        <v>38</v>
      </c>
      <c r="G65" t="s">
        <v>6</v>
      </c>
      <c r="H65" t="s">
        <v>5</v>
      </c>
      <c r="I65" t="s">
        <v>11</v>
      </c>
      <c r="J65" t="s">
        <v>10</v>
      </c>
      <c r="K65" t="s">
        <v>2</v>
      </c>
      <c r="L65" t="s">
        <v>1</v>
      </c>
      <c r="M65" t="s">
        <v>18</v>
      </c>
      <c r="N65">
        <v>2</v>
      </c>
      <c r="O65">
        <v>1266</v>
      </c>
      <c r="P65">
        <v>2320</v>
      </c>
      <c r="Q65">
        <v>2108</v>
      </c>
      <c r="R65">
        <v>2532</v>
      </c>
      <c r="S65">
        <v>4640</v>
      </c>
    </row>
    <row r="66" spans="1:19" x14ac:dyDescent="0.25">
      <c r="A66" t="s">
        <v>116</v>
      </c>
      <c r="B66" s="5">
        <v>44538</v>
      </c>
      <c r="C66">
        <v>8</v>
      </c>
      <c r="D66" t="s">
        <v>7</v>
      </c>
      <c r="E66">
        <v>2021</v>
      </c>
      <c r="F66">
        <v>39</v>
      </c>
      <c r="G66" t="s">
        <v>6</v>
      </c>
      <c r="H66" t="s">
        <v>12</v>
      </c>
      <c r="I66" t="s">
        <v>11</v>
      </c>
      <c r="J66" t="s">
        <v>19</v>
      </c>
      <c r="K66" t="s">
        <v>2</v>
      </c>
      <c r="L66" t="s">
        <v>1</v>
      </c>
      <c r="M66" t="s">
        <v>9</v>
      </c>
      <c r="N66">
        <v>2</v>
      </c>
      <c r="O66">
        <v>1252</v>
      </c>
      <c r="P66">
        <v>2295</v>
      </c>
      <c r="Q66">
        <v>2086</v>
      </c>
      <c r="R66">
        <v>2504</v>
      </c>
      <c r="S66">
        <v>4590</v>
      </c>
    </row>
    <row r="67" spans="1:19" x14ac:dyDescent="0.25">
      <c r="A67" t="s">
        <v>115</v>
      </c>
      <c r="B67" s="5">
        <v>44538</v>
      </c>
      <c r="C67">
        <v>8</v>
      </c>
      <c r="D67" t="s">
        <v>7</v>
      </c>
      <c r="E67">
        <v>2021</v>
      </c>
      <c r="F67">
        <v>35</v>
      </c>
      <c r="G67" t="s">
        <v>6</v>
      </c>
      <c r="H67" t="s">
        <v>12</v>
      </c>
      <c r="I67" t="s">
        <v>11</v>
      </c>
      <c r="J67" t="s">
        <v>10</v>
      </c>
      <c r="K67" t="s">
        <v>2</v>
      </c>
      <c r="L67" t="s">
        <v>1</v>
      </c>
      <c r="M67" t="s">
        <v>9</v>
      </c>
      <c r="N67">
        <v>1</v>
      </c>
      <c r="O67">
        <v>295</v>
      </c>
      <c r="P67">
        <v>540</v>
      </c>
      <c r="Q67">
        <v>245</v>
      </c>
      <c r="R67">
        <v>295</v>
      </c>
      <c r="S67">
        <v>540</v>
      </c>
    </row>
    <row r="68" spans="1:19" x14ac:dyDescent="0.25">
      <c r="A68" t="s">
        <v>111</v>
      </c>
      <c r="B68" s="5">
        <v>44540</v>
      </c>
      <c r="C68">
        <v>10</v>
      </c>
      <c r="D68" t="s">
        <v>7</v>
      </c>
      <c r="E68">
        <v>2021</v>
      </c>
      <c r="F68">
        <v>34</v>
      </c>
      <c r="G68" t="s">
        <v>16</v>
      </c>
      <c r="H68" t="s">
        <v>12</v>
      </c>
      <c r="I68" t="s">
        <v>11</v>
      </c>
      <c r="J68" t="s">
        <v>10</v>
      </c>
      <c r="K68" t="s">
        <v>2</v>
      </c>
      <c r="L68" t="s">
        <v>1</v>
      </c>
      <c r="M68" t="s">
        <v>0</v>
      </c>
      <c r="N68">
        <v>2</v>
      </c>
      <c r="O68">
        <v>1252</v>
      </c>
      <c r="P68">
        <v>2295</v>
      </c>
      <c r="Q68">
        <v>2086</v>
      </c>
      <c r="R68">
        <v>2504</v>
      </c>
      <c r="S68">
        <v>4590</v>
      </c>
    </row>
    <row r="69" spans="1:19" x14ac:dyDescent="0.25">
      <c r="A69" t="s">
        <v>108</v>
      </c>
      <c r="B69" s="5">
        <v>44540</v>
      </c>
      <c r="C69">
        <v>10</v>
      </c>
      <c r="D69" t="s">
        <v>7</v>
      </c>
      <c r="E69">
        <v>2021</v>
      </c>
      <c r="F69">
        <v>34</v>
      </c>
      <c r="G69" t="s">
        <v>16</v>
      </c>
      <c r="H69" t="s">
        <v>5</v>
      </c>
      <c r="I69" t="s">
        <v>11</v>
      </c>
      <c r="J69" t="s">
        <v>10</v>
      </c>
      <c r="K69" t="s">
        <v>2</v>
      </c>
      <c r="L69" t="s">
        <v>1</v>
      </c>
      <c r="M69" t="s">
        <v>54</v>
      </c>
      <c r="N69">
        <v>1</v>
      </c>
      <c r="O69">
        <v>295</v>
      </c>
      <c r="P69">
        <v>540</v>
      </c>
      <c r="Q69">
        <v>245</v>
      </c>
      <c r="R69">
        <v>295</v>
      </c>
      <c r="S69">
        <v>540</v>
      </c>
    </row>
    <row r="70" spans="1:19" x14ac:dyDescent="0.25">
      <c r="A70" t="s">
        <v>107</v>
      </c>
      <c r="B70" s="5">
        <v>44540</v>
      </c>
      <c r="C70">
        <v>10</v>
      </c>
      <c r="D70" t="s">
        <v>7</v>
      </c>
      <c r="E70">
        <v>2021</v>
      </c>
      <c r="F70">
        <v>34</v>
      </c>
      <c r="G70" t="s">
        <v>16</v>
      </c>
      <c r="H70" t="s">
        <v>12</v>
      </c>
      <c r="I70" t="s">
        <v>11</v>
      </c>
      <c r="J70" t="s">
        <v>36</v>
      </c>
      <c r="K70" t="s">
        <v>2</v>
      </c>
      <c r="L70" t="s">
        <v>1</v>
      </c>
      <c r="M70" t="s">
        <v>106</v>
      </c>
      <c r="N70">
        <v>1</v>
      </c>
      <c r="O70">
        <v>1912</v>
      </c>
      <c r="P70">
        <v>3400</v>
      </c>
      <c r="Q70">
        <v>1488</v>
      </c>
      <c r="R70">
        <v>1912</v>
      </c>
      <c r="S70">
        <v>3400</v>
      </c>
    </row>
    <row r="71" spans="1:19" x14ac:dyDescent="0.25">
      <c r="A71" t="s">
        <v>100</v>
      </c>
      <c r="B71" s="5">
        <v>44541</v>
      </c>
      <c r="C71">
        <v>11</v>
      </c>
      <c r="D71" t="s">
        <v>7</v>
      </c>
      <c r="E71">
        <v>2021</v>
      </c>
      <c r="F71">
        <v>37</v>
      </c>
      <c r="G71" t="s">
        <v>6</v>
      </c>
      <c r="H71" t="s">
        <v>5</v>
      </c>
      <c r="I71" t="s">
        <v>11</v>
      </c>
      <c r="J71" t="s">
        <v>10</v>
      </c>
      <c r="K71" t="s">
        <v>2</v>
      </c>
      <c r="L71" t="s">
        <v>1</v>
      </c>
      <c r="M71" t="s">
        <v>38</v>
      </c>
      <c r="N71">
        <v>1</v>
      </c>
      <c r="O71">
        <v>420</v>
      </c>
      <c r="P71">
        <v>769</v>
      </c>
      <c r="Q71">
        <v>349</v>
      </c>
      <c r="R71">
        <v>420</v>
      </c>
      <c r="S71">
        <v>769</v>
      </c>
    </row>
    <row r="72" spans="1:19" x14ac:dyDescent="0.25">
      <c r="A72" t="s">
        <v>99</v>
      </c>
      <c r="B72" s="5">
        <v>44541</v>
      </c>
      <c r="C72">
        <v>11</v>
      </c>
      <c r="D72" t="s">
        <v>7</v>
      </c>
      <c r="E72">
        <v>2021</v>
      </c>
      <c r="F72">
        <v>38</v>
      </c>
      <c r="G72" t="s">
        <v>6</v>
      </c>
      <c r="H72" t="s">
        <v>12</v>
      </c>
      <c r="I72" t="s">
        <v>11</v>
      </c>
      <c r="J72" t="s">
        <v>10</v>
      </c>
      <c r="K72" t="s">
        <v>2</v>
      </c>
      <c r="L72" t="s">
        <v>1</v>
      </c>
      <c r="M72" t="s">
        <v>21</v>
      </c>
      <c r="N72">
        <v>1</v>
      </c>
      <c r="O72">
        <v>1266</v>
      </c>
      <c r="P72">
        <v>2320</v>
      </c>
      <c r="Q72">
        <v>1054</v>
      </c>
      <c r="R72">
        <v>1266</v>
      </c>
      <c r="S72">
        <v>2320</v>
      </c>
    </row>
    <row r="73" spans="1:19" x14ac:dyDescent="0.25">
      <c r="A73" t="s">
        <v>97</v>
      </c>
      <c r="B73" s="5">
        <v>44542</v>
      </c>
      <c r="C73">
        <v>12</v>
      </c>
      <c r="D73" t="s">
        <v>7</v>
      </c>
      <c r="E73">
        <v>2021</v>
      </c>
      <c r="F73">
        <v>37</v>
      </c>
      <c r="G73" t="s">
        <v>6</v>
      </c>
      <c r="H73" t="s">
        <v>5</v>
      </c>
      <c r="I73" t="s">
        <v>11</v>
      </c>
      <c r="J73" t="s">
        <v>10</v>
      </c>
      <c r="K73" t="s">
        <v>2</v>
      </c>
      <c r="L73" t="s">
        <v>1</v>
      </c>
      <c r="M73" t="s">
        <v>38</v>
      </c>
      <c r="N73">
        <v>4</v>
      </c>
      <c r="O73">
        <v>420</v>
      </c>
      <c r="P73">
        <v>769</v>
      </c>
      <c r="Q73">
        <v>1396</v>
      </c>
      <c r="R73">
        <v>1680</v>
      </c>
      <c r="S73">
        <v>3076</v>
      </c>
    </row>
    <row r="74" spans="1:19" x14ac:dyDescent="0.25">
      <c r="A74" t="s">
        <v>94</v>
      </c>
      <c r="B74" s="5">
        <v>44542</v>
      </c>
      <c r="C74">
        <v>12</v>
      </c>
      <c r="D74" t="s">
        <v>7</v>
      </c>
      <c r="E74">
        <v>2021</v>
      </c>
      <c r="F74">
        <v>38</v>
      </c>
      <c r="G74" t="s">
        <v>6</v>
      </c>
      <c r="H74" t="s">
        <v>12</v>
      </c>
      <c r="I74" t="s">
        <v>11</v>
      </c>
      <c r="J74" t="s">
        <v>36</v>
      </c>
      <c r="K74" t="s">
        <v>2</v>
      </c>
      <c r="L74" t="s">
        <v>1</v>
      </c>
      <c r="M74" t="s">
        <v>18</v>
      </c>
      <c r="N74">
        <v>1</v>
      </c>
      <c r="O74">
        <v>1266</v>
      </c>
      <c r="P74">
        <v>2320</v>
      </c>
      <c r="Q74">
        <v>1054</v>
      </c>
      <c r="R74">
        <v>1266</v>
      </c>
      <c r="S74">
        <v>2320</v>
      </c>
    </row>
    <row r="75" spans="1:19" x14ac:dyDescent="0.25">
      <c r="A75" t="s">
        <v>92</v>
      </c>
      <c r="B75" s="5">
        <v>44543</v>
      </c>
      <c r="C75">
        <v>13</v>
      </c>
      <c r="D75" t="s">
        <v>7</v>
      </c>
      <c r="E75">
        <v>2021</v>
      </c>
      <c r="F75">
        <v>40</v>
      </c>
      <c r="G75" t="s">
        <v>6</v>
      </c>
      <c r="H75" t="s">
        <v>12</v>
      </c>
      <c r="I75" t="s">
        <v>11</v>
      </c>
      <c r="J75" t="s">
        <v>10</v>
      </c>
      <c r="K75" t="s">
        <v>2</v>
      </c>
      <c r="L75" t="s">
        <v>1</v>
      </c>
      <c r="M75" t="s">
        <v>91</v>
      </c>
      <c r="N75">
        <v>1</v>
      </c>
      <c r="O75">
        <v>308</v>
      </c>
      <c r="P75">
        <v>565</v>
      </c>
      <c r="Q75">
        <v>257</v>
      </c>
      <c r="R75">
        <v>308</v>
      </c>
      <c r="S75">
        <v>565</v>
      </c>
    </row>
    <row r="76" spans="1:19" x14ac:dyDescent="0.25">
      <c r="A76" t="s">
        <v>88</v>
      </c>
      <c r="B76" s="5">
        <v>44544</v>
      </c>
      <c r="C76">
        <v>14</v>
      </c>
      <c r="D76" t="s">
        <v>7</v>
      </c>
      <c r="E76">
        <v>2021</v>
      </c>
      <c r="F76">
        <v>30</v>
      </c>
      <c r="G76" t="s">
        <v>16</v>
      </c>
      <c r="H76" t="s">
        <v>12</v>
      </c>
      <c r="I76" t="s">
        <v>11</v>
      </c>
      <c r="J76" t="s">
        <v>36</v>
      </c>
      <c r="K76" t="s">
        <v>2</v>
      </c>
      <c r="L76" t="s">
        <v>1</v>
      </c>
      <c r="M76" t="s">
        <v>21</v>
      </c>
      <c r="N76">
        <v>2</v>
      </c>
      <c r="O76">
        <v>1266</v>
      </c>
      <c r="P76">
        <v>2320</v>
      </c>
      <c r="Q76">
        <v>2108</v>
      </c>
      <c r="R76">
        <v>2532</v>
      </c>
      <c r="S76">
        <v>4640</v>
      </c>
    </row>
    <row r="77" spans="1:19" x14ac:dyDescent="0.25">
      <c r="A77" t="s">
        <v>87</v>
      </c>
      <c r="B77" s="5">
        <v>44544</v>
      </c>
      <c r="C77">
        <v>14</v>
      </c>
      <c r="D77" t="s">
        <v>7</v>
      </c>
      <c r="E77">
        <v>2021</v>
      </c>
      <c r="F77">
        <v>32</v>
      </c>
      <c r="G77" t="s">
        <v>16</v>
      </c>
      <c r="H77" t="s">
        <v>5</v>
      </c>
      <c r="I77" t="s">
        <v>11</v>
      </c>
      <c r="J77" t="s">
        <v>10</v>
      </c>
      <c r="K77" t="s">
        <v>2</v>
      </c>
      <c r="L77" t="s">
        <v>1</v>
      </c>
      <c r="M77" t="s">
        <v>25</v>
      </c>
      <c r="N77">
        <v>1</v>
      </c>
      <c r="O77">
        <v>1252</v>
      </c>
      <c r="P77">
        <v>2295</v>
      </c>
      <c r="Q77">
        <v>1043</v>
      </c>
      <c r="R77">
        <v>1252</v>
      </c>
      <c r="S77">
        <v>2295</v>
      </c>
    </row>
    <row r="78" spans="1:19" x14ac:dyDescent="0.25">
      <c r="A78" t="s">
        <v>85</v>
      </c>
      <c r="B78" s="5">
        <v>44545</v>
      </c>
      <c r="C78">
        <v>15</v>
      </c>
      <c r="D78" t="s">
        <v>7</v>
      </c>
      <c r="E78">
        <v>2021</v>
      </c>
      <c r="F78">
        <v>29</v>
      </c>
      <c r="G78" t="s">
        <v>16</v>
      </c>
      <c r="H78" t="s">
        <v>12</v>
      </c>
      <c r="I78" t="s">
        <v>11</v>
      </c>
      <c r="J78" t="s">
        <v>10</v>
      </c>
      <c r="K78" t="s">
        <v>2</v>
      </c>
      <c r="L78" t="s">
        <v>1</v>
      </c>
      <c r="M78" t="s">
        <v>18</v>
      </c>
      <c r="N78">
        <v>1</v>
      </c>
      <c r="O78">
        <v>1266</v>
      </c>
      <c r="P78">
        <v>2320</v>
      </c>
      <c r="Q78">
        <v>1054</v>
      </c>
      <c r="R78">
        <v>1266</v>
      </c>
      <c r="S78">
        <v>2320</v>
      </c>
    </row>
    <row r="79" spans="1:19" x14ac:dyDescent="0.25">
      <c r="A79" t="s">
        <v>80</v>
      </c>
      <c r="B79" s="5">
        <v>44547</v>
      </c>
      <c r="C79">
        <v>17</v>
      </c>
      <c r="D79" t="s">
        <v>7</v>
      </c>
      <c r="E79">
        <v>2021</v>
      </c>
      <c r="F79">
        <v>37</v>
      </c>
      <c r="G79" t="s">
        <v>6</v>
      </c>
      <c r="H79" t="s">
        <v>12</v>
      </c>
      <c r="I79" t="s">
        <v>11</v>
      </c>
      <c r="J79" t="s">
        <v>36</v>
      </c>
      <c r="K79" t="s">
        <v>2</v>
      </c>
      <c r="L79" t="s">
        <v>1</v>
      </c>
      <c r="M79" t="s">
        <v>21</v>
      </c>
      <c r="N79">
        <v>2</v>
      </c>
      <c r="O79">
        <v>1266</v>
      </c>
      <c r="P79">
        <v>2320</v>
      </c>
      <c r="Q79">
        <v>2108</v>
      </c>
      <c r="R79">
        <v>2532</v>
      </c>
      <c r="S79">
        <v>4640</v>
      </c>
    </row>
    <row r="80" spans="1:19" x14ac:dyDescent="0.25">
      <c r="A80" t="s">
        <v>70</v>
      </c>
      <c r="B80" s="5">
        <v>44548</v>
      </c>
      <c r="C80">
        <v>18</v>
      </c>
      <c r="D80" t="s">
        <v>7</v>
      </c>
      <c r="E80">
        <v>2021</v>
      </c>
      <c r="F80">
        <v>39</v>
      </c>
      <c r="G80" t="s">
        <v>6</v>
      </c>
      <c r="H80" t="s">
        <v>5</v>
      </c>
      <c r="I80" t="s">
        <v>11</v>
      </c>
      <c r="J80" t="s">
        <v>10</v>
      </c>
      <c r="K80" t="s">
        <v>2</v>
      </c>
      <c r="L80" t="s">
        <v>1</v>
      </c>
      <c r="M80" t="s">
        <v>0</v>
      </c>
      <c r="N80">
        <v>3</v>
      </c>
      <c r="O80">
        <v>1252</v>
      </c>
      <c r="P80">
        <v>2295</v>
      </c>
      <c r="Q80">
        <v>3129</v>
      </c>
      <c r="R80">
        <v>3756</v>
      </c>
      <c r="S80">
        <v>6885</v>
      </c>
    </row>
    <row r="81" spans="1:19" x14ac:dyDescent="0.25">
      <c r="A81" t="s">
        <v>68</v>
      </c>
      <c r="B81" s="5">
        <v>44548</v>
      </c>
      <c r="C81">
        <v>18</v>
      </c>
      <c r="D81" t="s">
        <v>7</v>
      </c>
      <c r="E81">
        <v>2021</v>
      </c>
      <c r="F81">
        <v>36</v>
      </c>
      <c r="G81" t="s">
        <v>6</v>
      </c>
      <c r="H81" t="s">
        <v>5</v>
      </c>
      <c r="I81" t="s">
        <v>11</v>
      </c>
      <c r="J81" t="s">
        <v>36</v>
      </c>
      <c r="K81" t="s">
        <v>2</v>
      </c>
      <c r="L81" t="s">
        <v>1</v>
      </c>
      <c r="M81" t="s">
        <v>21</v>
      </c>
      <c r="N81">
        <v>1</v>
      </c>
      <c r="O81">
        <v>1266</v>
      </c>
      <c r="P81">
        <v>2320</v>
      </c>
      <c r="Q81">
        <v>1054</v>
      </c>
      <c r="R81">
        <v>1266</v>
      </c>
      <c r="S81">
        <v>2320</v>
      </c>
    </row>
    <row r="82" spans="1:19" x14ac:dyDescent="0.25">
      <c r="A82" t="s">
        <v>61</v>
      </c>
      <c r="B82" s="5">
        <v>44549</v>
      </c>
      <c r="C82">
        <v>19</v>
      </c>
      <c r="D82" t="s">
        <v>7</v>
      </c>
      <c r="E82">
        <v>2021</v>
      </c>
      <c r="F82">
        <v>35</v>
      </c>
      <c r="G82" t="s">
        <v>6</v>
      </c>
      <c r="H82" t="s">
        <v>12</v>
      </c>
      <c r="I82" t="s">
        <v>11</v>
      </c>
      <c r="J82" t="s">
        <v>19</v>
      </c>
      <c r="K82" t="s">
        <v>2</v>
      </c>
      <c r="L82" t="s">
        <v>1</v>
      </c>
      <c r="M82" t="s">
        <v>60</v>
      </c>
      <c r="N82">
        <v>4</v>
      </c>
      <c r="O82">
        <v>1898</v>
      </c>
      <c r="P82">
        <v>3375</v>
      </c>
      <c r="Q82">
        <v>5908</v>
      </c>
      <c r="R82">
        <v>7592</v>
      </c>
      <c r="S82">
        <v>13500</v>
      </c>
    </row>
    <row r="83" spans="1:19" x14ac:dyDescent="0.25">
      <c r="A83" t="s">
        <v>59</v>
      </c>
      <c r="B83" s="5">
        <v>44549</v>
      </c>
      <c r="C83">
        <v>19</v>
      </c>
      <c r="D83" t="s">
        <v>7</v>
      </c>
      <c r="E83">
        <v>2021</v>
      </c>
      <c r="F83">
        <v>37</v>
      </c>
      <c r="G83" t="s">
        <v>6</v>
      </c>
      <c r="H83" t="s">
        <v>5</v>
      </c>
      <c r="I83" t="s">
        <v>11</v>
      </c>
      <c r="J83" t="s">
        <v>19</v>
      </c>
      <c r="K83" t="s">
        <v>2</v>
      </c>
      <c r="L83" t="s">
        <v>1</v>
      </c>
      <c r="M83" t="s">
        <v>27</v>
      </c>
      <c r="N83">
        <v>4</v>
      </c>
      <c r="O83">
        <v>1252</v>
      </c>
      <c r="P83">
        <v>2295</v>
      </c>
      <c r="Q83">
        <v>4172</v>
      </c>
      <c r="R83">
        <v>5008</v>
      </c>
      <c r="S83">
        <v>9180</v>
      </c>
    </row>
    <row r="84" spans="1:19" x14ac:dyDescent="0.25">
      <c r="A84" t="s">
        <v>58</v>
      </c>
      <c r="B84" s="5">
        <v>44549</v>
      </c>
      <c r="C84">
        <v>19</v>
      </c>
      <c r="D84" t="s">
        <v>7</v>
      </c>
      <c r="E84">
        <v>2021</v>
      </c>
      <c r="F84">
        <v>39</v>
      </c>
      <c r="G84" t="s">
        <v>6</v>
      </c>
      <c r="H84" t="s">
        <v>12</v>
      </c>
      <c r="I84" t="s">
        <v>11</v>
      </c>
      <c r="J84" t="s">
        <v>10</v>
      </c>
      <c r="K84" t="s">
        <v>2</v>
      </c>
      <c r="L84" t="s">
        <v>1</v>
      </c>
      <c r="M84" t="s">
        <v>25</v>
      </c>
      <c r="N84">
        <v>4</v>
      </c>
      <c r="O84">
        <v>1252</v>
      </c>
      <c r="P84">
        <v>2295</v>
      </c>
      <c r="Q84">
        <v>4172</v>
      </c>
      <c r="R84">
        <v>5008</v>
      </c>
      <c r="S84">
        <v>9180</v>
      </c>
    </row>
    <row r="85" spans="1:19" x14ac:dyDescent="0.25">
      <c r="A85" t="s">
        <v>52</v>
      </c>
      <c r="B85" s="5">
        <v>44549</v>
      </c>
      <c r="C85">
        <v>19</v>
      </c>
      <c r="D85" t="s">
        <v>7</v>
      </c>
      <c r="E85">
        <v>2021</v>
      </c>
      <c r="F85">
        <v>39</v>
      </c>
      <c r="G85" t="s">
        <v>6</v>
      </c>
      <c r="H85" t="s">
        <v>12</v>
      </c>
      <c r="I85" t="s">
        <v>11</v>
      </c>
      <c r="J85" t="s">
        <v>36</v>
      </c>
      <c r="K85" t="s">
        <v>2</v>
      </c>
      <c r="L85" t="s">
        <v>1</v>
      </c>
      <c r="M85" t="s">
        <v>21</v>
      </c>
      <c r="N85">
        <v>1</v>
      </c>
      <c r="O85">
        <v>1266</v>
      </c>
      <c r="P85">
        <v>2320</v>
      </c>
      <c r="Q85">
        <v>1054</v>
      </c>
      <c r="R85">
        <v>1266</v>
      </c>
      <c r="S85">
        <v>2320</v>
      </c>
    </row>
    <row r="86" spans="1:19" x14ac:dyDescent="0.25">
      <c r="A86" t="s">
        <v>37</v>
      </c>
      <c r="B86" s="5">
        <v>44552</v>
      </c>
      <c r="C86">
        <v>22</v>
      </c>
      <c r="D86" t="s">
        <v>7</v>
      </c>
      <c r="E86">
        <v>2021</v>
      </c>
      <c r="F86">
        <v>30</v>
      </c>
      <c r="G86" t="s">
        <v>16</v>
      </c>
      <c r="H86" t="s">
        <v>12</v>
      </c>
      <c r="I86" t="s">
        <v>11</v>
      </c>
      <c r="J86" t="s">
        <v>36</v>
      </c>
      <c r="K86" t="s">
        <v>2</v>
      </c>
      <c r="L86" t="s">
        <v>1</v>
      </c>
      <c r="M86" t="s">
        <v>21</v>
      </c>
      <c r="N86">
        <v>3</v>
      </c>
      <c r="O86">
        <v>1266</v>
      </c>
      <c r="P86">
        <v>2320</v>
      </c>
      <c r="Q86">
        <v>3162</v>
      </c>
      <c r="R86">
        <v>3798</v>
      </c>
      <c r="S86">
        <v>6960</v>
      </c>
    </row>
    <row r="87" spans="1:19" x14ac:dyDescent="0.25">
      <c r="A87" t="s">
        <v>35</v>
      </c>
      <c r="B87" s="5">
        <v>44552</v>
      </c>
      <c r="C87">
        <v>22</v>
      </c>
      <c r="D87" t="s">
        <v>7</v>
      </c>
      <c r="E87">
        <v>2021</v>
      </c>
      <c r="F87">
        <v>41</v>
      </c>
      <c r="G87" t="s">
        <v>6</v>
      </c>
      <c r="H87" t="s">
        <v>5</v>
      </c>
      <c r="I87" t="s">
        <v>11</v>
      </c>
      <c r="J87" t="s">
        <v>10</v>
      </c>
      <c r="K87" t="s">
        <v>2</v>
      </c>
      <c r="L87" t="s">
        <v>1</v>
      </c>
      <c r="M87" t="s">
        <v>0</v>
      </c>
      <c r="N87">
        <v>3</v>
      </c>
      <c r="O87">
        <v>1252</v>
      </c>
      <c r="P87">
        <v>2295</v>
      </c>
      <c r="Q87">
        <v>3129</v>
      </c>
      <c r="R87">
        <v>3756</v>
      </c>
      <c r="S87">
        <v>6885</v>
      </c>
    </row>
    <row r="88" spans="1:19" x14ac:dyDescent="0.25">
      <c r="A88" t="s">
        <v>20</v>
      </c>
      <c r="B88" s="5">
        <v>44553</v>
      </c>
      <c r="C88">
        <v>23</v>
      </c>
      <c r="D88" t="s">
        <v>7</v>
      </c>
      <c r="E88">
        <v>2021</v>
      </c>
      <c r="F88">
        <v>30</v>
      </c>
      <c r="G88" t="s">
        <v>16</v>
      </c>
      <c r="H88" t="s">
        <v>12</v>
      </c>
      <c r="I88" t="s">
        <v>11</v>
      </c>
      <c r="J88" t="s">
        <v>19</v>
      </c>
      <c r="K88" t="s">
        <v>2</v>
      </c>
      <c r="L88" t="s">
        <v>1</v>
      </c>
      <c r="M88" t="s">
        <v>18</v>
      </c>
      <c r="N88">
        <v>1</v>
      </c>
      <c r="O88">
        <v>1266</v>
      </c>
      <c r="P88">
        <v>2320</v>
      </c>
      <c r="Q88">
        <v>1054</v>
      </c>
      <c r="R88">
        <v>1266</v>
      </c>
      <c r="S88">
        <v>2320</v>
      </c>
    </row>
    <row r="89" spans="1:19" x14ac:dyDescent="0.25">
      <c r="A89" t="s">
        <v>13</v>
      </c>
      <c r="B89" s="5">
        <v>44553</v>
      </c>
      <c r="C89">
        <v>23</v>
      </c>
      <c r="D89" t="s">
        <v>7</v>
      </c>
      <c r="E89">
        <v>2021</v>
      </c>
      <c r="F89">
        <v>35</v>
      </c>
      <c r="G89" t="s">
        <v>6</v>
      </c>
      <c r="H89" t="s">
        <v>12</v>
      </c>
      <c r="I89" t="s">
        <v>11</v>
      </c>
      <c r="J89" t="s">
        <v>10</v>
      </c>
      <c r="K89" t="s">
        <v>2</v>
      </c>
      <c r="L89" t="s">
        <v>1</v>
      </c>
      <c r="M89" t="s">
        <v>9</v>
      </c>
      <c r="N89">
        <v>1</v>
      </c>
      <c r="O89">
        <v>295</v>
      </c>
      <c r="P89">
        <v>540</v>
      </c>
      <c r="Q89">
        <v>245</v>
      </c>
      <c r="R89">
        <v>295</v>
      </c>
      <c r="S89">
        <v>540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4"/>
  <sheetViews>
    <sheetView tabSelected="1" workbookViewId="0">
      <selection activeCell="F26" sqref="F26"/>
    </sheetView>
  </sheetViews>
  <sheetFormatPr defaultRowHeight="15" x14ac:dyDescent="0.25"/>
  <cols>
    <col min="1" max="1" width="15.42578125" style="1" customWidth="1"/>
    <col min="2" max="2" width="13.5703125" customWidth="1"/>
    <col min="3" max="3" width="12.28515625" customWidth="1"/>
    <col min="4" max="4" width="25.5703125" bestFit="1" customWidth="1"/>
    <col min="5" max="7" width="25.42578125" bestFit="1" customWidth="1"/>
    <col min="8" max="10" width="25.5703125" bestFit="1" customWidth="1"/>
    <col min="11" max="13" width="28.42578125" bestFit="1" customWidth="1"/>
    <col min="14" max="17" width="25.42578125" bestFit="1" customWidth="1"/>
    <col min="18" max="19" width="25.5703125" bestFit="1" customWidth="1"/>
    <col min="20" max="20" width="13" bestFit="1" customWidth="1"/>
    <col min="22" max="25" width="3.7109375" bestFit="1" customWidth="1"/>
    <col min="26" max="26" width="13.7109375" bestFit="1" customWidth="1"/>
    <col min="27" max="27" width="12.5703125" bestFit="1" customWidth="1"/>
    <col min="28" max="30" width="3.7109375" bestFit="1" customWidth="1"/>
    <col min="31" max="31" width="16.140625" bestFit="1" customWidth="1"/>
    <col min="32" max="32" width="19.85546875" bestFit="1" customWidth="1"/>
    <col min="33" max="37" width="3.7109375" bestFit="1" customWidth="1"/>
    <col min="38" max="38" width="23.140625" bestFit="1" customWidth="1"/>
    <col min="39" max="39" width="13" bestFit="1" customWidth="1"/>
  </cols>
  <sheetData>
    <row r="3" spans="1:2" x14ac:dyDescent="0.25">
      <c r="A3" s="12" t="s">
        <v>147</v>
      </c>
      <c r="B3" t="s">
        <v>157</v>
      </c>
    </row>
    <row r="4" spans="1:2" x14ac:dyDescent="0.25">
      <c r="A4" t="s">
        <v>4</v>
      </c>
      <c r="B4" s="13">
        <v>0.30778922132250408</v>
      </c>
    </row>
    <row r="5" spans="1:2" x14ac:dyDescent="0.25">
      <c r="A5" t="s">
        <v>15</v>
      </c>
      <c r="B5" s="13">
        <v>5.579543508574504E-2</v>
      </c>
    </row>
    <row r="6" spans="1:2" x14ac:dyDescent="0.25">
      <c r="A6" t="s">
        <v>29</v>
      </c>
      <c r="B6" s="13">
        <v>0.12831788047068032</v>
      </c>
    </row>
    <row r="7" spans="1:2" x14ac:dyDescent="0.25">
      <c r="A7" t="s">
        <v>23</v>
      </c>
      <c r="B7" s="13">
        <v>8.3396531056584386E-2</v>
      </c>
    </row>
    <row r="8" spans="1:2" x14ac:dyDescent="0.25">
      <c r="A8" t="s">
        <v>40</v>
      </c>
      <c r="B8" s="13">
        <v>5.5483523741957579E-2</v>
      </c>
    </row>
    <row r="9" spans="1:2" x14ac:dyDescent="0.25">
      <c r="A9" t="s">
        <v>11</v>
      </c>
      <c r="B9" s="13">
        <v>0.36921740832252858</v>
      </c>
    </row>
    <row r="10" spans="1:2" x14ac:dyDescent="0.25">
      <c r="A10" s="11" t="s">
        <v>156</v>
      </c>
      <c r="B10" s="13">
        <v>1</v>
      </c>
    </row>
    <row r="11" spans="1:2" x14ac:dyDescent="0.25">
      <c r="A11"/>
    </row>
    <row r="12" spans="1:2" x14ac:dyDescent="0.25">
      <c r="A12"/>
    </row>
    <row r="13" spans="1:2" x14ac:dyDescent="0.25">
      <c r="A13"/>
    </row>
    <row r="14" spans="1:2" x14ac:dyDescent="0.25">
      <c r="A14"/>
    </row>
    <row r="15" spans="1:2" x14ac:dyDescent="0.25">
      <c r="A15"/>
    </row>
    <row r="16" spans="1:2" x14ac:dyDescent="0.25">
      <c r="A16"/>
    </row>
    <row r="17" spans="1:1" x14ac:dyDescent="0.25">
      <c r="A17"/>
    </row>
    <row r="18" spans="1:1" x14ac:dyDescent="0.25">
      <c r="A18"/>
    </row>
    <row r="19" spans="1:1" x14ac:dyDescent="0.25">
      <c r="A19"/>
    </row>
    <row r="20" spans="1:1" x14ac:dyDescent="0.25">
      <c r="A20"/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  <row r="25" spans="1:1" x14ac:dyDescent="0.25">
      <c r="A25"/>
    </row>
    <row r="26" spans="1:1" x14ac:dyDescent="0.25">
      <c r="A26"/>
    </row>
    <row r="27" spans="1:1" x14ac:dyDescent="0.25">
      <c r="A27"/>
    </row>
    <row r="28" spans="1:1" x14ac:dyDescent="0.25">
      <c r="A28"/>
    </row>
    <row r="29" spans="1:1" x14ac:dyDescent="0.25">
      <c r="A29"/>
    </row>
    <row r="30" spans="1:1" x14ac:dyDescent="0.25">
      <c r="A30"/>
    </row>
    <row r="31" spans="1:1" x14ac:dyDescent="0.25">
      <c r="A31"/>
    </row>
    <row r="32" spans="1:1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</sheetData>
  <conditionalFormatting sqref="A4:A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 3 - Bike Sales</vt:lpstr>
      <vt:lpstr>Bike Sales - Expanded</vt:lpstr>
      <vt:lpstr>Day 3 - Bike Sales - Pivot Tabl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Reizorar</dc:creator>
  <cp:lastModifiedBy>Reizorar</cp:lastModifiedBy>
  <dcterms:created xsi:type="dcterms:W3CDTF">2025-12-09T15:11:29Z</dcterms:created>
  <dcterms:modified xsi:type="dcterms:W3CDTF">2025-12-09T15:47:52Z</dcterms:modified>
</cp:coreProperties>
</file>