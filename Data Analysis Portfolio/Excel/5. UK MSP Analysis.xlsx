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aw_Table2_Divisions" sheetId="1" r:id="rId1"/>
    <sheet name="Clean_Data" sheetId="8" r:id="rId2"/>
    <sheet name="Pivot" sheetId="4" r:id="rId3"/>
  </sheets>
  <definedNames>
    <definedName name="ExternalData_1" localSheetId="1" hidden="1">Clean_Data!$A$1:$E$259</definedName>
  </definedNames>
  <calcPr calcId="162913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</calcChain>
</file>

<file path=xl/connections.xml><?xml version="1.0" encoding="utf-8"?>
<connections xmlns="http://schemas.openxmlformats.org/spreadsheetml/2006/main">
  <connection id="1" keepAlive="1" name="Query - tbl_msp_divisions (4)" description="Connection to the 'tbl_msp_divisions (4)' query in the workbook." type="5" refreshedVersion="6" background="1" saveData="1">
    <dbPr connection="Provider=Microsoft.Mashup.OleDb.1;Data Source=$Workbook$;Location=tbl_msp_divisions (4);Extended Properties=&quot;&quot;" command="SELECT * FROM [tbl_msp_divisions (4)]"/>
  </connection>
</connections>
</file>

<file path=xl/sharedStrings.xml><?xml version="1.0" encoding="utf-8"?>
<sst xmlns="http://schemas.openxmlformats.org/spreadsheetml/2006/main" count="592" uniqueCount="77">
  <si>
    <t>Table 2: Total UK Manufacturers' Product Sales by Division, Current Prices, 2014 to 2024</t>
  </si>
  <si>
    <t>This worksheet contains one table</t>
  </si>
  <si>
    <t>Note 2 applies to this table. In addition, some cells refer to notes. All notes can be found on the Notes worksheet</t>
  </si>
  <si>
    <t>Some shorthand is used in this worksheet: [c] = data is disclosive.</t>
  </si>
  <si>
    <t>All Product Sales are in £ million.</t>
  </si>
  <si>
    <t>Division
[note 3]</t>
  </si>
  <si>
    <t>Standard industrial classification (revised 2007) Division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</si>
  <si>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</si>
  <si>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</si>
  <si>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</si>
  <si>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</si>
  <si>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</si>
  <si>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</si>
  <si>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</si>
  <si>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</si>
  <si>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</si>
  <si>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</si>
  <si>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</si>
  <si>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Other mining and quarrying</t>
  </si>
  <si>
    <t>Manufacture of food products</t>
  </si>
  <si>
    <t>Manufacture of beverages and tobacco products</t>
  </si>
  <si>
    <t>11 &amp; 12</t>
  </si>
  <si>
    <t>[c]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</si>
  <si>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</si>
  <si>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</si>
  <si>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</si>
  <si>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</si>
  <si>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</si>
  <si>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</si>
  <si>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</si>
  <si>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</si>
  <si>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</si>
  <si>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</si>
  <si>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</si>
  <si>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</si>
  <si>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</si>
  <si>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</si>
  <si>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</si>
  <si>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</si>
  <si>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</si>
  <si>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</si>
  <si>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</si>
  <si>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</si>
  <si>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</si>
  <si>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Total</t>
  </si>
  <si>
    <t>All Divisions</t>
  </si>
  <si>
    <t xml:space="preserve">Division
</t>
  </si>
  <si>
    <t>Year</t>
  </si>
  <si>
    <t>Sales_GBP_m</t>
  </si>
  <si>
    <t>8</t>
  </si>
  <si>
    <t>10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</si>
  <si>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</si>
  <si>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</si>
  <si>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</si>
  <si>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</si>
  <si>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</si>
  <si>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</si>
  <si>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</si>
  <si>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</si>
  <si>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</si>
  <si>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</si>
  <si>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</si>
  <si>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</si>
  <si>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</si>
  <si>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</si>
  <si>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</si>
  <si>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</si>
  <si>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</si>
  <si>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</si>
  <si>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</si>
  <si>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</si>
  <si>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Standard industrial classification</t>
  </si>
  <si>
    <t>Row Labels</t>
  </si>
  <si>
    <t>Grand Total</t>
  </si>
  <si>
    <t xml:space="preserve">Sales_GBP_bn
</t>
  </si>
  <si>
    <t xml:space="preserve">Sum of Sales_GBP_bn
</t>
  </si>
  <si>
    <t>Sum of Sales_GBP_bn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</si>
</sst>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2"/>
      <name val="Arial"/>
    </font>
    <font>
      <u/>
      <sz val="12"/>
      <color theme="10"/>
      <name val="Arial"/>
      <family val="2"/>
    </font>
    <font>
      <b/>
      <sz val="12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horizontal="left"/>
    </xf>
    <xf numFmtId="3" fontId="2" fillId="0" borderId="0">
      <alignment horizontal="left" vertical="top"/>
    </xf>
    <xf numFmtId="0" fontId="3" fillId="0" borderId="0"/>
    <xf numFmtId="0" fontId="4" fillId="0" borderId="1">
      <alignment horizontal="left" vertical="top" wrapText="1"/>
    </xf>
    <xf numFmtId="0" fontId="4" fillId="0" borderId="1">
      <alignment horizontal="right" vertical="top" wrapText="1"/>
    </xf>
    <xf numFmtId="1" fontId="2" fillId="0" borderId="0">
      <alignment horizontal="left" vertical="top" wrapText="1"/>
    </xf>
    <xf numFmtId="0" fontId="2" fillId="0" borderId="0">
      <alignment horizontal="right" vertical="top" wrapText="1"/>
    </xf>
  </cellStyleXfs>
  <cellXfs count="28">
    <xf numFmtId="0" fontId="0" fillId="0" borderId="0" xfId="0"/>
    <xf numFmtId="0" fontId="1" fillId="0" borderId="0" xfId="1" applyAlignment="1">
      <alignment horizontal="left"/>
    </xf>
    <xf numFmtId="3" fontId="2" fillId="0" borderId="0" xfId="2" applyAlignment="1">
      <alignment horizontal="left" vertical="top"/>
    </xf>
    <xf numFmtId="0" fontId="3" fillId="0" borderId="0" xfId="3"/>
    <xf numFmtId="1" fontId="2" fillId="0" borderId="0" xfId="6" applyAlignment="1">
      <alignment horizontal="left" vertical="top" wrapText="1"/>
    </xf>
    <xf numFmtId="1" fontId="2" fillId="0" borderId="0" xfId="6" applyAlignment="1">
      <alignment horizontal="left" wrapText="1"/>
    </xf>
    <xf numFmtId="3" fontId="2" fillId="0" borderId="0" xfId="7" applyNumberFormat="1" applyAlignment="1">
      <alignment horizontal="right" wrapText="1"/>
    </xf>
    <xf numFmtId="3" fontId="2" fillId="0" borderId="3" xfId="7" applyNumberFormat="1" applyBorder="1" applyAlignment="1">
      <alignment horizontal="right" wrapText="1"/>
    </xf>
    <xf numFmtId="1" fontId="2" fillId="0" borderId="4" xfId="6" applyBorder="1" applyAlignment="1">
      <alignment horizontal="left" vertical="top" wrapText="1"/>
    </xf>
    <xf numFmtId="1" fontId="2" fillId="0" borderId="4" xfId="6" applyBorder="1" applyAlignment="1">
      <alignment horizontal="left" wrapText="1"/>
    </xf>
    <xf numFmtId="3" fontId="2" fillId="0" borderId="4" xfId="7" applyNumberFormat="1" applyBorder="1" applyAlignment="1">
      <alignment horizontal="right" wrapText="1"/>
    </xf>
    <xf numFmtId="3" fontId="2" fillId="0" borderId="5" xfId="7" applyNumberFormat="1" applyBorder="1" applyAlignment="1">
      <alignment horizontal="right"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0" borderId="1" xfId="4" applyAlignment="1">
      <alignment horizontal="center" wrapText="1"/>
    </xf>
    <xf numFmtId="0" fontId="4" fillId="0" borderId="1" xfId="5" applyAlignment="1">
      <alignment horizontal="center" wrapText="1"/>
    </xf>
    <xf numFmtId="0" fontId="4" fillId="0" borderId="2" xfId="5" applyBorder="1" applyAlignment="1">
      <alignment horizontal="center" wrapText="1"/>
    </xf>
    <xf numFmtId="0" fontId="5" fillId="0" borderId="1" xfId="4" applyFont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10" fontId="0" fillId="0" borderId="6" xfId="0" applyNumberFormat="1" applyBorder="1"/>
    <xf numFmtId="0" fontId="0" fillId="0" borderId="6" xfId="0" pivotButton="1" applyBorder="1"/>
    <xf numFmtId="2" fontId="0" fillId="0" borderId="6" xfId="0" applyNumberFormat="1" applyBorder="1"/>
    <xf numFmtId="0" fontId="0" fillId="0" borderId="6" xfId="0" applyBorder="1" applyAlignment="1">
      <alignment horizontal="left"/>
    </xf>
    <xf numFmtId="0" fontId="0" fillId="0" borderId="6" xfId="0" applyNumberFormat="1" applyBorder="1"/>
    <xf numFmtId="167" fontId="0" fillId="0" borderId="6" xfId="0" applyNumberFormat="1" applyBorder="1"/>
  </cellXfs>
  <cellStyles count="8">
    <cellStyle name="general left" xfId="6"/>
    <cellStyle name="general right" xfId="7"/>
    <cellStyle name="general unwrapped" xfId="2"/>
    <cellStyle name="heading" xfId="1"/>
    <cellStyle name="Hyperlink" xfId="3" builtinId="8"/>
    <cellStyle name="Normal" xfId="0" builtinId="0"/>
    <cellStyle name="table heading left" xfId="4"/>
    <cellStyle name="table heading right" xfId="5"/>
  </cellStyles>
  <dxfs count="4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numFmt numFmtId="13" formatCode="0%"/>
    </dxf>
    <dxf>
      <numFmt numFmtId="14" formatCode="0.00%"/>
    </dxf>
    <dxf>
      <numFmt numFmtId="166" formatCode="0.000%"/>
    </dxf>
    <dxf>
      <numFmt numFmtId="14" formatCode="0.00%"/>
    </dxf>
    <dxf>
      <numFmt numFmtId="167" formatCode="0.0%"/>
    </dxf>
    <dxf>
      <numFmt numFmtId="14" formatCode="0.00%"/>
    </dxf>
    <dxf>
      <numFmt numFmtId="166" formatCode="0.000%"/>
    </dxf>
    <dxf>
      <numFmt numFmtId="14" formatCode="0.00%"/>
    </dxf>
    <dxf>
      <numFmt numFmtId="167" formatCode="0.0%"/>
    </dxf>
    <dxf>
      <numFmt numFmtId="2" formatCode="0.00"/>
    </dxf>
    <dxf>
      <alignment horizontal="center" textRotation="0" wrapText="1" indent="0" justifyLastLine="0" shrinkToFit="0" readingOrder="0"/>
    </dxf>
    <dxf>
      <numFmt numFmtId="13" formatCode="0%"/>
    </dxf>
    <dxf>
      <numFmt numFmtId="14" formatCode="0.00%"/>
    </dxf>
    <dxf>
      <numFmt numFmtId="166" formatCode="0.000%"/>
    </dxf>
    <dxf>
      <numFmt numFmtId="14" formatCode="0.00%"/>
    </dxf>
    <dxf>
      <numFmt numFmtId="167" formatCode="0.0%"/>
    </dxf>
    <dxf>
      <numFmt numFmtId="14" formatCode="0.00%"/>
    </dxf>
    <dxf>
      <numFmt numFmtId="166" formatCode="0.000%"/>
    </dxf>
    <dxf>
      <numFmt numFmtId="14" formatCode="0.00%"/>
    </dxf>
    <dxf>
      <numFmt numFmtId="167" formatCode="0.0%"/>
    </dxf>
    <dxf>
      <numFmt numFmtId="2" formatCode="0.0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numFmt numFmtId="3" formatCode="#,##0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[UK MSP Analysis.xlsx]Pivot!PivotTable1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UK Manufacturers’ Sales (£ Billion, current prices)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Pivot!$A$2:$A$13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Pivot!$B$2:$B$13</c:f>
              <c:numCache>
                <c:formatCode>General</c:formatCode>
                <c:ptCount val="11"/>
                <c:pt idx="0">
                  <c:v>660.44900000000007</c:v>
                </c:pt>
                <c:pt idx="1">
                  <c:v>716.28700000000003</c:v>
                </c:pt>
                <c:pt idx="2">
                  <c:v>731.452</c:v>
                </c:pt>
                <c:pt idx="3">
                  <c:v>778.63199999999995</c:v>
                </c:pt>
                <c:pt idx="4">
                  <c:v>802.88000000000011</c:v>
                </c:pt>
                <c:pt idx="5">
                  <c:v>804.36799999999994</c:v>
                </c:pt>
                <c:pt idx="6">
                  <c:v>732.75400000000002</c:v>
                </c:pt>
                <c:pt idx="7">
                  <c:v>802.94200000000001</c:v>
                </c:pt>
                <c:pt idx="8">
                  <c:v>877.81999999999994</c:v>
                </c:pt>
                <c:pt idx="9">
                  <c:v>933.39200000000005</c:v>
                </c:pt>
                <c:pt idx="10">
                  <c:v>904.37899999999991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E-411B-AB6C-8D17F5DA0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846464"/>
        <c:axId val="817835648"/>
      </c:lineChart>
      <c:catAx>
        <c:axId val="8178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35648"/>
        <c:crosses val="autoZero"/>
        <c:auto val="0"/>
        <c:lblAlgn val="ctr"/>
        <c:lblOffset val="100"/>
        <c:noMultiLvlLbl val="0"/>
      </c:catAx>
      <c:valAx>
        <c:axId val="8178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4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[UK MSP Analysis.xlsx]Pivot!PivotTable2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UK Manufacturing Divisions by Sales (2014–2024)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Pivot!$A$18:$A$28</c:f>
              <c:strCache>
                <c:ptCount val="10"/>
                <c:pt idx="0">
                  <c:v>Repair and installation of machinery and equipment</c:v>
                </c:pt>
                <c:pt idx="1">
                  <c:v>Manufacture of beverages and tobacco products</c:v>
                </c:pt>
                <c:pt idx="2">
                  <c:v>Manufacture of rubber and plastic products</c:v>
                </c:pt>
                <c:pt idx="3">
                  <c:v>Manufacture of chemicals and chemical products</c:v>
                </c:pt>
                <c:pt idx="4">
                  <c:v>Manufacture of machinery and equipment not elsewhere classified</c:v>
                </c:pt>
                <c:pt idx="5">
                  <c:v>Manufacture of other transport equipment</c:v>
                </c:pt>
                <c:pt idx="6">
                  <c:v>Manufacture of fabricated metal products, except machinery and equipment</c:v>
                </c:pt>
                <c:pt idx="7">
                  <c:v>Manufacture of motor vehicles, trailers and semi-trailers</c:v>
                </c:pt>
                <c:pt idx="8">
                  <c:v>Manufacture of food products</c:v>
                </c:pt>
                <c:pt idx="9">
                  <c:v>Total</c:v>
                </c:pt>
              </c:strCache>
            </c:strRef>
          </c:cat>
          <c:val>
            <c:numRef>
              <c:f>Pivot!$B$18:$B$28</c:f>
              <c:numCache>
                <c:formatCode>0.00%</c:formatCode>
                <c:ptCount val="10"/>
                <c:pt idx="0">
                  <c:v>2.162579375849465E-2</c:v>
                </c:pt>
                <c:pt idx="1">
                  <c:v>2.2115803991682493E-2</c:v>
                </c:pt>
                <c:pt idx="2">
                  <c:v>2.7326122931317247E-2</c:v>
                </c:pt>
                <c:pt idx="3">
                  <c:v>3.7590200428970162E-2</c:v>
                </c:pt>
                <c:pt idx="4">
                  <c:v>4.0715863764482503E-2</c:v>
                </c:pt>
                <c:pt idx="5">
                  <c:v>4.1231087347492229E-2</c:v>
                </c:pt>
                <c:pt idx="6">
                  <c:v>4.2519608329751546E-2</c:v>
                </c:pt>
                <c:pt idx="7">
                  <c:v>7.2683355176102693E-2</c:v>
                </c:pt>
                <c:pt idx="8">
                  <c:v>0.11270156159080133</c:v>
                </c:pt>
                <c:pt idx="9">
                  <c:v>0.58149060268090513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3-493D-8262-D97FD98CC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183184"/>
        <c:axId val="636161200"/>
      </c:barChart>
      <c:catAx>
        <c:axId val="123618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61200"/>
        <c:crosses val="autoZero"/>
        <c:auto val="1"/>
        <c:lblAlgn val="ctr"/>
        <c:lblOffset val="100"/>
        <c:noMultiLvlLbl val="0"/>
      </c:catAx>
      <c:valAx>
        <c:axId val="63616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8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[UK MSP Analysis.xlsx]Pivot!PivotTable3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 Growth in UK Manufacturers’ Sales (%)</a:t>
            </a:r>
          </a:p>
        </c:rich>
      </c:tx>
      <c:layout>
        <c:manualLayout>
          <c:xMode val="edge"/>
          <c:yMode val="edge"/>
          <c:x val="0.12092465291444503"/>
          <c:y val="3.9020653293814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6"/>
            <c:marker>
              <c:symbol val="squar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18E-4793-88D4-3B55B25A87C7}"/>
              </c:ext>
            </c:extLst>
          </c:dPt>
          <c:dPt>
            <c:idx val="10"/>
            <c:marker>
              <c:symbol val="squar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18E-4793-88D4-3B55B25A87C7}"/>
              </c:ext>
            </c:extLst>
          </c:dPt>
          <c:cat>
            <c:strRef>
              <c:f>Pivot!$A$51:$A$62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Pivot!$B$51:$B$62</c:f>
              <c:numCache>
                <c:formatCode>0.0%</c:formatCode>
                <c:ptCount val="11"/>
                <c:pt idx="1">
                  <c:v>8.454551373383859E-2</c:v>
                </c:pt>
                <c:pt idx="2">
                  <c:v>2.1171681183659571E-2</c:v>
                </c:pt>
                <c:pt idx="3">
                  <c:v>6.4501840175431813E-2</c:v>
                </c:pt>
                <c:pt idx="4">
                  <c:v>3.1141797408788956E-2</c:v>
                </c:pt>
                <c:pt idx="5">
                  <c:v>1.8533280191309147E-3</c:v>
                </c:pt>
                <c:pt idx="6">
                  <c:v>-8.903138861814483E-2</c:v>
                </c:pt>
                <c:pt idx="7">
                  <c:v>9.5786580489495773E-2</c:v>
                </c:pt>
                <c:pt idx="8">
                  <c:v>9.3254556368953079E-2</c:v>
                </c:pt>
                <c:pt idx="9">
                  <c:v>6.3306828279146202E-2</c:v>
                </c:pt>
                <c:pt idx="10">
                  <c:v>-3.1083403328933765E-2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E-4793-88D4-3B55B25A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890160"/>
        <c:axId val="1863888496"/>
      </c:lineChart>
      <c:catAx>
        <c:axId val="186389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888496"/>
        <c:crosses val="autoZero"/>
        <c:auto val="0"/>
        <c:lblAlgn val="ctr"/>
        <c:lblOffset val="100"/>
        <c:noMultiLvlLbl val="0"/>
      </c:catAx>
      <c:valAx>
        <c:axId val="18638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89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33617</xdr:colOff>
      <xdr:row>0</xdr:row>
      <xdr:rowOff>67235</xdr:rowOff>
    </xdr:from>
    <xdr:to>
      <xdr:col>2</xdr:col>
      <xdr:colOff>6275294</xdr:colOff>
      <xdr:row>12</xdr:row>
      <xdr:rowOff>134471</xdr:rowOff>
    </xdr:to>
    <xdr:graphicFrame macro="">
      <xdr:nvGraphicFramePr>
        <xdr:cNvPr id="2" name="Chart 1" title="Total UK Manufacturers’ Sales (2014–2024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33618</xdr:colOff>
      <xdr:row>15</xdr:row>
      <xdr:rowOff>174811</xdr:rowOff>
    </xdr:from>
    <xdr:to>
      <xdr:col>3</xdr:col>
      <xdr:colOff>1792941</xdr:colOff>
      <xdr:row>41</xdr:row>
      <xdr:rowOff>100852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218512</xdr:colOff>
      <xdr:row>48</xdr:row>
      <xdr:rowOff>17929</xdr:rowOff>
    </xdr:from>
    <xdr:to>
      <xdr:col>2</xdr:col>
      <xdr:colOff>5266763</xdr:colOff>
      <xdr:row>63</xdr:row>
      <xdr:rowOff>89647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09.974122222222" createdVersion="6" refreshedVersion="6" minRefreshableVersion="3" recordCount="258">
  <cacheSource type="worksheet">
    <worksheetSource name="tbl_msp_divisions__4"/>
  </cacheSource>
  <cacheFields count="5">
    <cacheField name="Standard industrial classification" numFmtId="0">
      <sharedItems/>
    </cacheField>
    <cacheField name="Division_x000a__x000a_" numFmtId="0">
      <sharedItems count="24">
        <s v="Other mining and quarrying"/>
        <s v="Manufacture of food products"/>
        <s v="Manufacture of beverages and tobacco products"/>
        <s v="Manufacture of textiles"/>
        <s v="Manufacture of wearing apparel"/>
        <s v="Manufacture of leather and related products"/>
        <s v="Manufacture of wood and of products of wood and cork, except furniture; manufacture of articles of straw and plaiting materials"/>
        <s v="Manufacture of paper and paper products"/>
        <s v="Printing and reproduction of recorded media"/>
        <s v="Manufacture of chemicals and chemical products"/>
        <s v="Manufacture of basic pharmaceutical products and pharmaceutical preparations"/>
        <s v="Manufacture of rubber and plastic products"/>
        <s v="Manufacture of other non-metallic mineral products"/>
        <s v="Manufacture of basic metals"/>
        <s v="Manufacture of fabricated metal products, except machinery and equipment"/>
        <s v="Manufacture of computer, electronic and optical products"/>
        <s v="Manufacture of electrical equipment"/>
        <s v="Manufacture of machinery and equipment not elsewhere classified"/>
        <s v="Manufacture of motor vehicles, trailers and semi-trailers"/>
        <s v="Manufacture of other transport equipment"/>
        <s v="Manufacture of furniture"/>
        <s v="Other manufacturing"/>
        <s v="Repair and installation of machinery and equipment"/>
        <s v="Total"/>
      </sharedItems>
    </cacheField>
    <cacheField name="Year" numFmtId="0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ales_GBP_m" numFmtId="0">
      <sharedItems containsSemiMixedTypes="0" containsString="0" containsNumber="1" containsInteger="1" minValue="527" maxValue="466696"/>
    </cacheField>
    <cacheField name="Sales_GBP_bn_x000a_" numFmtId="0">
      <sharedItems containsSemiMixedTypes="0" containsString="0" containsNumber="1" minValue="0.52700000000000002" maxValue="466.696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8">
  <r>
    <s v="8"/>
    <x v="0"/>
    <x v="0"/>
    <n v="2315"/>
    <n v="2.3149999999999999"/>
  </r>
  <r>
    <s v="8"/>
    <x v="0"/>
    <x v="1"/>
    <n v="1738"/>
    <n v="1.738"/>
  </r>
  <r>
    <s v="8"/>
    <x v="0"/>
    <x v="2"/>
    <n v="1915"/>
    <n v="1.915"/>
  </r>
  <r>
    <s v="8"/>
    <x v="0"/>
    <x v="3"/>
    <n v="2293"/>
    <n v="2.2930000000000001"/>
  </r>
  <r>
    <s v="8"/>
    <x v="0"/>
    <x v="4"/>
    <n v="2317"/>
    <n v="2.3170000000000002"/>
  </r>
  <r>
    <s v="8"/>
    <x v="0"/>
    <x v="5"/>
    <n v="2264"/>
    <n v="2.2639999999999998"/>
  </r>
  <r>
    <s v="8"/>
    <x v="0"/>
    <x v="6"/>
    <n v="2221"/>
    <n v="2.2210000000000001"/>
  </r>
  <r>
    <s v="8"/>
    <x v="0"/>
    <x v="7"/>
    <n v="2335"/>
    <n v="2.335"/>
  </r>
  <r>
    <s v="8"/>
    <x v="0"/>
    <x v="8"/>
    <n v="3136"/>
    <n v="3.1360000000000001"/>
  </r>
  <r>
    <s v="8"/>
    <x v="0"/>
    <x v="9"/>
    <n v="2978"/>
    <n v="2.9780000000000002"/>
  </r>
  <r>
    <s v="8"/>
    <x v="0"/>
    <x v="10"/>
    <n v="3921"/>
    <n v="3.9209999999999998"/>
  </r>
  <r>
    <s v="10"/>
    <x v="1"/>
    <x v="0"/>
    <n v="67053"/>
    <n v="67.052999999999997"/>
  </r>
  <r>
    <s v="10"/>
    <x v="1"/>
    <x v="1"/>
    <n v="66176"/>
    <n v="66.176000000000002"/>
  </r>
  <r>
    <s v="10"/>
    <x v="1"/>
    <x v="2"/>
    <n v="65668"/>
    <n v="65.668000000000006"/>
  </r>
  <r>
    <s v="10"/>
    <x v="1"/>
    <x v="3"/>
    <n v="70236"/>
    <n v="70.236000000000004"/>
  </r>
  <r>
    <s v="10"/>
    <x v="1"/>
    <x v="4"/>
    <n v="73639"/>
    <n v="73.638999999999996"/>
  </r>
  <r>
    <s v="10"/>
    <x v="1"/>
    <x v="5"/>
    <n v="75147"/>
    <n v="75.147000000000006"/>
  </r>
  <r>
    <s v="10"/>
    <x v="1"/>
    <x v="6"/>
    <n v="74018"/>
    <n v="74.018000000000001"/>
  </r>
  <r>
    <s v="10"/>
    <x v="1"/>
    <x v="7"/>
    <n v="79960"/>
    <n v="79.959999999999994"/>
  </r>
  <r>
    <s v="10"/>
    <x v="1"/>
    <x v="8"/>
    <n v="89998"/>
    <n v="89.998000000000005"/>
  </r>
  <r>
    <s v="10"/>
    <x v="1"/>
    <x v="9"/>
    <n v="95933"/>
    <n v="95.933000000000007"/>
  </r>
  <r>
    <s v="10"/>
    <x v="1"/>
    <x v="10"/>
    <n v="95926"/>
    <n v="95.926000000000002"/>
  </r>
  <r>
    <s v="11 &amp; 12"/>
    <x v="2"/>
    <x v="1"/>
    <n v="14599"/>
    <n v="14.599"/>
  </r>
  <r>
    <s v="11 &amp; 12"/>
    <x v="2"/>
    <x v="2"/>
    <n v="13882"/>
    <n v="13.882"/>
  </r>
  <r>
    <s v="11 &amp; 12"/>
    <x v="2"/>
    <x v="3"/>
    <n v="13537"/>
    <n v="13.537000000000001"/>
  </r>
  <r>
    <s v="11 &amp; 12"/>
    <x v="2"/>
    <x v="4"/>
    <n v="14619"/>
    <n v="14.619"/>
  </r>
  <r>
    <s v="11 &amp; 12"/>
    <x v="2"/>
    <x v="5"/>
    <n v="15150"/>
    <n v="15.15"/>
  </r>
  <r>
    <s v="11 &amp; 12"/>
    <x v="2"/>
    <x v="6"/>
    <n v="14112"/>
    <n v="14.112"/>
  </r>
  <r>
    <s v="11 &amp; 12"/>
    <x v="2"/>
    <x v="7"/>
    <n v="16166"/>
    <n v="16.166"/>
  </r>
  <r>
    <s v="11 &amp; 12"/>
    <x v="2"/>
    <x v="8"/>
    <n v="18032"/>
    <n v="18.032"/>
  </r>
  <r>
    <s v="11 &amp; 12"/>
    <x v="2"/>
    <x v="9"/>
    <n v="23447"/>
    <n v="23.446999999999999"/>
  </r>
  <r>
    <s v="11 &amp; 12"/>
    <x v="2"/>
    <x v="10"/>
    <n v="23991"/>
    <n v="23.991"/>
  </r>
  <r>
    <s v="13"/>
    <x v="3"/>
    <x v="1"/>
    <n v="4193"/>
    <n v="4.1929999999999996"/>
  </r>
  <r>
    <s v="13"/>
    <x v="3"/>
    <x v="2"/>
    <n v="4301"/>
    <n v="4.3010000000000002"/>
  </r>
  <r>
    <s v="13"/>
    <x v="3"/>
    <x v="3"/>
    <n v="4083"/>
    <n v="4.0830000000000002"/>
  </r>
  <r>
    <s v="13"/>
    <x v="3"/>
    <x v="4"/>
    <n v="4281"/>
    <n v="4.2809999999999997"/>
  </r>
  <r>
    <s v="13"/>
    <x v="3"/>
    <x v="5"/>
    <n v="4530"/>
    <n v="4.53"/>
  </r>
  <r>
    <s v="13"/>
    <x v="3"/>
    <x v="6"/>
    <n v="4006"/>
    <n v="4.0060000000000002"/>
  </r>
  <r>
    <s v="13"/>
    <x v="3"/>
    <x v="7"/>
    <n v="4454"/>
    <n v="4.4539999999999997"/>
  </r>
  <r>
    <s v="13"/>
    <x v="3"/>
    <x v="8"/>
    <n v="4579"/>
    <n v="4.5789999999999997"/>
  </r>
  <r>
    <s v="13"/>
    <x v="3"/>
    <x v="9"/>
    <n v="4937"/>
    <n v="4.9370000000000003"/>
  </r>
  <r>
    <s v="13"/>
    <x v="3"/>
    <x v="10"/>
    <n v="4318"/>
    <n v="4.3179999999999996"/>
  </r>
  <r>
    <s v="14"/>
    <x v="4"/>
    <x v="0"/>
    <n v="1830"/>
    <n v="1.83"/>
  </r>
  <r>
    <s v="14"/>
    <x v="4"/>
    <x v="1"/>
    <n v="1665"/>
    <n v="1.665"/>
  </r>
  <r>
    <s v="14"/>
    <x v="4"/>
    <x v="2"/>
    <n v="1620"/>
    <n v="1.62"/>
  </r>
  <r>
    <s v="14"/>
    <x v="4"/>
    <x v="3"/>
    <n v="1513"/>
    <n v="1.5129999999999999"/>
  </r>
  <r>
    <s v="14"/>
    <x v="4"/>
    <x v="4"/>
    <n v="1522"/>
    <n v="1.522"/>
  </r>
  <r>
    <s v="14"/>
    <x v="4"/>
    <x v="5"/>
    <n v="1605"/>
    <n v="1.605"/>
  </r>
  <r>
    <s v="14"/>
    <x v="4"/>
    <x v="6"/>
    <n v="1384"/>
    <n v="1.3839999999999999"/>
  </r>
  <r>
    <s v="14"/>
    <x v="4"/>
    <x v="7"/>
    <n v="1207"/>
    <n v="1.2070000000000001"/>
  </r>
  <r>
    <s v="14"/>
    <x v="4"/>
    <x v="8"/>
    <n v="1399"/>
    <n v="1.399"/>
  </r>
  <r>
    <s v="14"/>
    <x v="4"/>
    <x v="9"/>
    <n v="1458"/>
    <n v="1.458"/>
  </r>
  <r>
    <s v="14"/>
    <x v="4"/>
    <x v="10"/>
    <n v="1417"/>
    <n v="1.417"/>
  </r>
  <r>
    <s v="15"/>
    <x v="5"/>
    <x v="0"/>
    <n v="681"/>
    <n v="0.68100000000000005"/>
  </r>
  <r>
    <s v="15"/>
    <x v="5"/>
    <x v="1"/>
    <n v="690"/>
    <n v="0.69"/>
  </r>
  <r>
    <s v="15"/>
    <x v="5"/>
    <x v="2"/>
    <n v="683"/>
    <n v="0.68300000000000005"/>
  </r>
  <r>
    <s v="15"/>
    <x v="5"/>
    <x v="3"/>
    <n v="741"/>
    <n v="0.74099999999999999"/>
  </r>
  <r>
    <s v="15"/>
    <x v="5"/>
    <x v="4"/>
    <n v="755"/>
    <n v="0.755"/>
  </r>
  <r>
    <s v="15"/>
    <x v="5"/>
    <x v="5"/>
    <n v="733"/>
    <n v="0.73299999999999998"/>
  </r>
  <r>
    <s v="15"/>
    <x v="5"/>
    <x v="6"/>
    <n v="527"/>
    <n v="0.52700000000000002"/>
  </r>
  <r>
    <s v="15"/>
    <x v="5"/>
    <x v="7"/>
    <n v="533"/>
    <n v="0.53300000000000003"/>
  </r>
  <r>
    <s v="15"/>
    <x v="5"/>
    <x v="8"/>
    <n v="579"/>
    <n v="0.57899999999999996"/>
  </r>
  <r>
    <s v="15"/>
    <x v="5"/>
    <x v="9"/>
    <n v="561"/>
    <n v="0.56100000000000005"/>
  </r>
  <r>
    <s v="15"/>
    <x v="5"/>
    <x v="10"/>
    <n v="535"/>
    <n v="0.53500000000000003"/>
  </r>
  <r>
    <s v="16"/>
    <x v="6"/>
    <x v="1"/>
    <n v="6534"/>
    <n v="6.5339999999999998"/>
  </r>
  <r>
    <s v="16"/>
    <x v="6"/>
    <x v="2"/>
    <n v="6453"/>
    <n v="6.4530000000000003"/>
  </r>
  <r>
    <s v="16"/>
    <x v="6"/>
    <x v="3"/>
    <n v="6924"/>
    <n v="6.9240000000000004"/>
  </r>
  <r>
    <s v="16"/>
    <x v="6"/>
    <x v="4"/>
    <n v="7343"/>
    <n v="7.343"/>
  </r>
  <r>
    <s v="16"/>
    <x v="6"/>
    <x v="5"/>
    <n v="7645"/>
    <n v="7.6449999999999996"/>
  </r>
  <r>
    <s v="16"/>
    <x v="6"/>
    <x v="6"/>
    <n v="7476"/>
    <n v="7.476"/>
  </r>
  <r>
    <s v="16"/>
    <x v="6"/>
    <x v="7"/>
    <n v="9292"/>
    <n v="9.2919999999999998"/>
  </r>
  <r>
    <s v="16"/>
    <x v="6"/>
    <x v="8"/>
    <n v="11217"/>
    <n v="11.217000000000001"/>
  </r>
  <r>
    <s v="16"/>
    <x v="6"/>
    <x v="9"/>
    <n v="9688"/>
    <n v="9.6880000000000006"/>
  </r>
  <r>
    <s v="16"/>
    <x v="6"/>
    <x v="10"/>
    <n v="8863"/>
    <n v="8.8629999999999995"/>
  </r>
  <r>
    <s v="17"/>
    <x v="7"/>
    <x v="0"/>
    <n v="10364"/>
    <n v="10.364000000000001"/>
  </r>
  <r>
    <s v="17"/>
    <x v="7"/>
    <x v="1"/>
    <n v="10105"/>
    <n v="10.105"/>
  </r>
  <r>
    <s v="17"/>
    <x v="7"/>
    <x v="2"/>
    <n v="9866"/>
    <n v="9.8659999999999997"/>
  </r>
  <r>
    <s v="17"/>
    <x v="7"/>
    <x v="3"/>
    <n v="10240"/>
    <n v="10.24"/>
  </r>
  <r>
    <s v="17"/>
    <x v="7"/>
    <x v="4"/>
    <n v="10773"/>
    <n v="10.773"/>
  </r>
  <r>
    <s v="17"/>
    <x v="7"/>
    <x v="5"/>
    <n v="10837"/>
    <n v="10.837"/>
  </r>
  <r>
    <s v="17"/>
    <x v="7"/>
    <x v="6"/>
    <n v="10786"/>
    <n v="10.786"/>
  </r>
  <r>
    <s v="17"/>
    <x v="7"/>
    <x v="7"/>
    <n v="11767"/>
    <n v="11.766999999999999"/>
  </r>
  <r>
    <s v="17"/>
    <x v="7"/>
    <x v="8"/>
    <n v="13689"/>
    <n v="13.689"/>
  </r>
  <r>
    <s v="17"/>
    <x v="7"/>
    <x v="9"/>
    <n v="13335"/>
    <n v="13.335000000000001"/>
  </r>
  <r>
    <s v="17"/>
    <x v="7"/>
    <x v="10"/>
    <n v="13620"/>
    <n v="13.62"/>
  </r>
  <r>
    <s v="18"/>
    <x v="8"/>
    <x v="1"/>
    <n v="7910"/>
    <n v="7.91"/>
  </r>
  <r>
    <s v="18"/>
    <x v="8"/>
    <x v="2"/>
    <n v="7821"/>
    <n v="7.8209999999999997"/>
  </r>
  <r>
    <s v="18"/>
    <x v="8"/>
    <x v="3"/>
    <n v="8123"/>
    <n v="8.1229999999999993"/>
  </r>
  <r>
    <s v="18"/>
    <x v="8"/>
    <x v="4"/>
    <n v="8232"/>
    <n v="8.2319999999999993"/>
  </r>
  <r>
    <s v="18"/>
    <x v="8"/>
    <x v="5"/>
    <n v="7619"/>
    <n v="7.6189999999999998"/>
  </r>
  <r>
    <s v="18"/>
    <x v="8"/>
    <x v="6"/>
    <n v="6205"/>
    <n v="6.2050000000000001"/>
  </r>
  <r>
    <s v="18"/>
    <x v="8"/>
    <x v="7"/>
    <n v="6332"/>
    <n v="6.3319999999999999"/>
  </r>
  <r>
    <s v="18"/>
    <x v="8"/>
    <x v="8"/>
    <n v="7105"/>
    <n v="7.1050000000000004"/>
  </r>
  <r>
    <s v="18"/>
    <x v="8"/>
    <x v="9"/>
    <n v="7484"/>
    <n v="7.484"/>
  </r>
  <r>
    <s v="18"/>
    <x v="8"/>
    <x v="10"/>
    <n v="6332"/>
    <n v="6.3319999999999999"/>
  </r>
  <r>
    <s v="20"/>
    <x v="9"/>
    <x v="0"/>
    <n v="21431"/>
    <n v="21.431000000000001"/>
  </r>
  <r>
    <s v="20"/>
    <x v="9"/>
    <x v="1"/>
    <n v="20453"/>
    <n v="20.452999999999999"/>
  </r>
  <r>
    <s v="20"/>
    <x v="9"/>
    <x v="2"/>
    <n v="21703"/>
    <n v="21.702999999999999"/>
  </r>
  <r>
    <s v="20"/>
    <x v="9"/>
    <x v="3"/>
    <n v="24082"/>
    <n v="24.082000000000001"/>
  </r>
  <r>
    <s v="20"/>
    <x v="9"/>
    <x v="4"/>
    <n v="24968"/>
    <n v="24.968"/>
  </r>
  <r>
    <s v="20"/>
    <x v="9"/>
    <x v="5"/>
    <n v="26018"/>
    <n v="26.018000000000001"/>
  </r>
  <r>
    <s v="20"/>
    <x v="9"/>
    <x v="6"/>
    <n v="24703"/>
    <n v="24.702999999999999"/>
  </r>
  <r>
    <s v="20"/>
    <x v="9"/>
    <x v="7"/>
    <n v="30059"/>
    <n v="30.059000000000001"/>
  </r>
  <r>
    <s v="20"/>
    <x v="9"/>
    <x v="8"/>
    <n v="31664"/>
    <n v="31.664000000000001"/>
  </r>
  <r>
    <s v="20"/>
    <x v="9"/>
    <x v="9"/>
    <n v="30411"/>
    <n v="30.411000000000001"/>
  </r>
  <r>
    <s v="20"/>
    <x v="9"/>
    <x v="10"/>
    <n v="29267"/>
    <n v="29.266999999999999"/>
  </r>
  <r>
    <s v="21"/>
    <x v="10"/>
    <x v="0"/>
    <n v="10914"/>
    <n v="10.914"/>
  </r>
  <r>
    <s v="21"/>
    <x v="10"/>
    <x v="1"/>
    <n v="10799"/>
    <n v="10.798999999999999"/>
  </r>
  <r>
    <s v="21"/>
    <x v="10"/>
    <x v="2"/>
    <n v="12890"/>
    <n v="12.89"/>
  </r>
  <r>
    <s v="21"/>
    <x v="10"/>
    <x v="3"/>
    <n v="11870"/>
    <n v="11.87"/>
  </r>
  <r>
    <s v="21"/>
    <x v="10"/>
    <x v="4"/>
    <n v="13560"/>
    <n v="13.56"/>
  </r>
  <r>
    <s v="21"/>
    <x v="10"/>
    <x v="5"/>
    <n v="13835"/>
    <n v="13.835000000000001"/>
  </r>
  <r>
    <s v="21"/>
    <x v="10"/>
    <x v="6"/>
    <n v="15086"/>
    <n v="15.086"/>
  </r>
  <r>
    <s v="21"/>
    <x v="10"/>
    <x v="7"/>
    <n v="15187"/>
    <n v="15.186999999999999"/>
  </r>
  <r>
    <s v="21"/>
    <x v="10"/>
    <x v="8"/>
    <n v="15577"/>
    <n v="15.577"/>
  </r>
  <r>
    <s v="21"/>
    <x v="10"/>
    <x v="9"/>
    <n v="15553"/>
    <n v="15.553000000000001"/>
  </r>
  <r>
    <s v="21"/>
    <x v="10"/>
    <x v="10"/>
    <n v="14320"/>
    <n v="14.32"/>
  </r>
  <r>
    <s v="22"/>
    <x v="11"/>
    <x v="1"/>
    <n v="19226"/>
    <n v="19.225999999999999"/>
  </r>
  <r>
    <s v="22"/>
    <x v="11"/>
    <x v="2"/>
    <n v="19541"/>
    <n v="19.541"/>
  </r>
  <r>
    <s v="22"/>
    <x v="11"/>
    <x v="3"/>
    <n v="20244"/>
    <n v="20.244"/>
  </r>
  <r>
    <s v="22"/>
    <x v="11"/>
    <x v="4"/>
    <n v="20466"/>
    <n v="20.466000000000001"/>
  </r>
  <r>
    <s v="22"/>
    <x v="11"/>
    <x v="5"/>
    <n v="19921"/>
    <n v="19.920999999999999"/>
  </r>
  <r>
    <s v="22"/>
    <x v="11"/>
    <x v="6"/>
    <n v="19018"/>
    <n v="19.018000000000001"/>
  </r>
  <r>
    <s v="22"/>
    <x v="11"/>
    <x v="7"/>
    <n v="20937"/>
    <n v="20.937000000000001"/>
  </r>
  <r>
    <s v="22"/>
    <x v="11"/>
    <x v="8"/>
    <n v="23217"/>
    <n v="23.216999999999999"/>
  </r>
  <r>
    <s v="22"/>
    <x v="11"/>
    <x v="9"/>
    <n v="22770"/>
    <n v="22.77"/>
  </r>
  <r>
    <s v="22"/>
    <x v="11"/>
    <x v="10"/>
    <n v="21665"/>
    <n v="21.664999999999999"/>
  </r>
  <r>
    <s v="23"/>
    <x v="12"/>
    <x v="0"/>
    <n v="11468"/>
    <n v="11.468"/>
  </r>
  <r>
    <s v="23"/>
    <x v="12"/>
    <x v="1"/>
    <n v="12436"/>
    <n v="12.436"/>
  </r>
  <r>
    <s v="23"/>
    <x v="12"/>
    <x v="2"/>
    <n v="13175"/>
    <n v="13.175000000000001"/>
  </r>
  <r>
    <s v="23"/>
    <x v="12"/>
    <x v="3"/>
    <n v="13893"/>
    <n v="13.893000000000001"/>
  </r>
  <r>
    <s v="23"/>
    <x v="12"/>
    <x v="4"/>
    <n v="14217"/>
    <n v="14.217000000000001"/>
  </r>
  <r>
    <s v="23"/>
    <x v="12"/>
    <x v="5"/>
    <n v="14518"/>
    <n v="14.518000000000001"/>
  </r>
  <r>
    <s v="23"/>
    <x v="12"/>
    <x v="6"/>
    <n v="12956"/>
    <n v="12.956"/>
  </r>
  <r>
    <s v="23"/>
    <x v="12"/>
    <x v="7"/>
    <n v="14847"/>
    <n v="14.847"/>
  </r>
  <r>
    <s v="23"/>
    <x v="12"/>
    <x v="8"/>
    <n v="17512"/>
    <n v="17.512"/>
  </r>
  <r>
    <s v="23"/>
    <x v="12"/>
    <x v="9"/>
    <n v="17996"/>
    <n v="17.995999999999999"/>
  </r>
  <r>
    <s v="23"/>
    <x v="12"/>
    <x v="10"/>
    <n v="16276"/>
    <n v="16.276"/>
  </r>
  <r>
    <s v="24"/>
    <x v="13"/>
    <x v="0"/>
    <n v="6583"/>
    <n v="6.5830000000000002"/>
  </r>
  <r>
    <s v="24"/>
    <x v="13"/>
    <x v="1"/>
    <n v="5926"/>
    <n v="5.9260000000000002"/>
  </r>
  <r>
    <s v="24"/>
    <x v="13"/>
    <x v="2"/>
    <n v="5626"/>
    <n v="5.6260000000000003"/>
  </r>
  <r>
    <s v="24"/>
    <x v="13"/>
    <x v="3"/>
    <n v="6258"/>
    <n v="6.258"/>
  </r>
  <r>
    <s v="24"/>
    <x v="13"/>
    <x v="4"/>
    <n v="6678"/>
    <n v="6.6779999999999999"/>
  </r>
  <r>
    <s v="24"/>
    <x v="13"/>
    <x v="5"/>
    <n v="6201"/>
    <n v="6.2009999999999996"/>
  </r>
  <r>
    <s v="24"/>
    <x v="13"/>
    <x v="6"/>
    <n v="5171"/>
    <n v="5.1710000000000003"/>
  </r>
  <r>
    <s v="24"/>
    <x v="13"/>
    <x v="7"/>
    <n v="6121"/>
    <n v="6.1210000000000004"/>
  </r>
  <r>
    <s v="24"/>
    <x v="13"/>
    <x v="8"/>
    <n v="7290"/>
    <n v="7.29"/>
  </r>
  <r>
    <s v="24"/>
    <x v="13"/>
    <x v="9"/>
    <n v="6990"/>
    <n v="6.99"/>
  </r>
  <r>
    <s v="24"/>
    <x v="13"/>
    <x v="10"/>
    <n v="6962"/>
    <n v="6.9619999999999997"/>
  </r>
  <r>
    <s v="25"/>
    <x v="14"/>
    <x v="0"/>
    <n v="25551"/>
    <n v="25.550999999999998"/>
  </r>
  <r>
    <s v="25"/>
    <x v="14"/>
    <x v="1"/>
    <n v="26439"/>
    <n v="26.439"/>
  </r>
  <r>
    <s v="25"/>
    <x v="14"/>
    <x v="2"/>
    <n v="26392"/>
    <n v="26.391999999999999"/>
  </r>
  <r>
    <s v="25"/>
    <x v="14"/>
    <x v="3"/>
    <n v="27775"/>
    <n v="27.774999999999999"/>
  </r>
  <r>
    <s v="25"/>
    <x v="14"/>
    <x v="4"/>
    <n v="28752"/>
    <n v="28.751999999999999"/>
  </r>
  <r>
    <s v="25"/>
    <x v="14"/>
    <x v="5"/>
    <n v="29181"/>
    <n v="29.181000000000001"/>
  </r>
  <r>
    <s v="25"/>
    <x v="14"/>
    <x v="6"/>
    <n v="26371"/>
    <n v="26.370999999999999"/>
  </r>
  <r>
    <s v="25"/>
    <x v="14"/>
    <x v="7"/>
    <n v="29795"/>
    <n v="29.795000000000002"/>
  </r>
  <r>
    <s v="25"/>
    <x v="14"/>
    <x v="8"/>
    <n v="33278"/>
    <n v="33.277999999999999"/>
  </r>
  <r>
    <s v="25"/>
    <x v="14"/>
    <x v="9"/>
    <n v="35681"/>
    <n v="35.680999999999997"/>
  </r>
  <r>
    <s v="25"/>
    <x v="14"/>
    <x v="10"/>
    <n v="32886"/>
    <n v="32.886000000000003"/>
  </r>
  <r>
    <s v="26"/>
    <x v="15"/>
    <x v="0"/>
    <n v="12145"/>
    <n v="12.145"/>
  </r>
  <r>
    <s v="26"/>
    <x v="15"/>
    <x v="1"/>
    <n v="12166"/>
    <n v="12.166"/>
  </r>
  <r>
    <s v="26"/>
    <x v="15"/>
    <x v="2"/>
    <n v="12277"/>
    <n v="12.276999999999999"/>
  </r>
  <r>
    <s v="26"/>
    <x v="15"/>
    <x v="3"/>
    <n v="12829"/>
    <n v="12.829000000000001"/>
  </r>
  <r>
    <s v="26"/>
    <x v="15"/>
    <x v="4"/>
    <n v="14096"/>
    <n v="14.096"/>
  </r>
  <r>
    <s v="26"/>
    <x v="15"/>
    <x v="5"/>
    <n v="15021"/>
    <n v="15.021000000000001"/>
  </r>
  <r>
    <s v="26"/>
    <x v="15"/>
    <x v="6"/>
    <n v="14435"/>
    <n v="14.435"/>
  </r>
  <r>
    <s v="26"/>
    <x v="15"/>
    <x v="7"/>
    <n v="14696"/>
    <n v="14.696"/>
  </r>
  <r>
    <s v="26"/>
    <x v="15"/>
    <x v="8"/>
    <n v="15655"/>
    <n v="15.654999999999999"/>
  </r>
  <r>
    <s v="26"/>
    <x v="15"/>
    <x v="9"/>
    <n v="15727"/>
    <n v="15.727"/>
  </r>
  <r>
    <s v="26"/>
    <x v="15"/>
    <x v="10"/>
    <n v="15959"/>
    <n v="15.959"/>
  </r>
  <r>
    <s v="27"/>
    <x v="16"/>
    <x v="1"/>
    <n v="10288"/>
    <n v="10.288"/>
  </r>
  <r>
    <s v="27"/>
    <x v="16"/>
    <x v="2"/>
    <n v="10005"/>
    <n v="10.005000000000001"/>
  </r>
  <r>
    <s v="27"/>
    <x v="16"/>
    <x v="3"/>
    <n v="10629"/>
    <n v="10.629"/>
  </r>
  <r>
    <s v="27"/>
    <x v="16"/>
    <x v="4"/>
    <n v="10927"/>
    <n v="10.927"/>
  </r>
  <r>
    <s v="27"/>
    <x v="16"/>
    <x v="5"/>
    <n v="11029"/>
    <n v="11.029"/>
  </r>
  <r>
    <s v="27"/>
    <x v="16"/>
    <x v="6"/>
    <n v="9554"/>
    <n v="9.5540000000000003"/>
  </r>
  <r>
    <s v="27"/>
    <x v="16"/>
    <x v="7"/>
    <n v="10482"/>
    <n v="10.481999999999999"/>
  </r>
  <r>
    <s v="27"/>
    <x v="16"/>
    <x v="8"/>
    <n v="10934"/>
    <n v="10.933999999999999"/>
  </r>
  <r>
    <s v="27"/>
    <x v="16"/>
    <x v="9"/>
    <n v="11316"/>
    <n v="11.316000000000001"/>
  </r>
  <r>
    <s v="27"/>
    <x v="16"/>
    <x v="10"/>
    <n v="11246"/>
    <n v="11.246"/>
  </r>
  <r>
    <s v="28"/>
    <x v="17"/>
    <x v="0"/>
    <n v="27581"/>
    <n v="27.581"/>
  </r>
  <r>
    <s v="28"/>
    <x v="17"/>
    <x v="1"/>
    <n v="24756"/>
    <n v="24.756"/>
  </r>
  <r>
    <s v="28"/>
    <x v="17"/>
    <x v="2"/>
    <n v="23954"/>
    <n v="23.954000000000001"/>
  </r>
  <r>
    <s v="28"/>
    <x v="17"/>
    <x v="3"/>
    <n v="26109"/>
    <n v="26.109000000000002"/>
  </r>
  <r>
    <s v="28"/>
    <x v="17"/>
    <x v="4"/>
    <n v="28351"/>
    <n v="28.350999999999999"/>
  </r>
  <r>
    <s v="28"/>
    <x v="17"/>
    <x v="5"/>
    <n v="28544"/>
    <n v="28.544"/>
  </r>
  <r>
    <s v="28"/>
    <x v="17"/>
    <x v="6"/>
    <n v="25276"/>
    <n v="25.276"/>
  </r>
  <r>
    <s v="28"/>
    <x v="17"/>
    <x v="7"/>
    <n v="28501"/>
    <n v="28.501000000000001"/>
  </r>
  <r>
    <s v="28"/>
    <x v="17"/>
    <x v="8"/>
    <n v="31423"/>
    <n v="31.422999999999998"/>
  </r>
  <r>
    <s v="28"/>
    <x v="17"/>
    <x v="9"/>
    <n v="33544"/>
    <n v="33.543999999999997"/>
  </r>
  <r>
    <s v="28"/>
    <x v="17"/>
    <x v="10"/>
    <n v="30398"/>
    <n v="30.398"/>
  </r>
  <r>
    <s v="29"/>
    <x v="18"/>
    <x v="0"/>
    <n v="47382"/>
    <n v="47.381999999999998"/>
  </r>
  <r>
    <s v="29"/>
    <x v="18"/>
    <x v="1"/>
    <n v="48424"/>
    <n v="48.423999999999999"/>
  </r>
  <r>
    <s v="29"/>
    <x v="18"/>
    <x v="2"/>
    <n v="54839"/>
    <n v="54.838999999999999"/>
  </r>
  <r>
    <s v="29"/>
    <x v="18"/>
    <x v="3"/>
    <n v="58404"/>
    <n v="58.404000000000003"/>
  </r>
  <r>
    <s v="29"/>
    <x v="18"/>
    <x v="4"/>
    <n v="56738"/>
    <n v="56.738"/>
  </r>
  <r>
    <s v="29"/>
    <x v="18"/>
    <x v="5"/>
    <n v="52631"/>
    <n v="52.631"/>
  </r>
  <r>
    <s v="29"/>
    <x v="18"/>
    <x v="6"/>
    <n v="39364"/>
    <n v="39.363999999999997"/>
  </r>
  <r>
    <s v="29"/>
    <x v="18"/>
    <x v="7"/>
    <n v="43904"/>
    <n v="43.904000000000003"/>
  </r>
  <r>
    <s v="29"/>
    <x v="18"/>
    <x v="8"/>
    <n v="43675"/>
    <n v="43.674999999999997"/>
  </r>
  <r>
    <s v="29"/>
    <x v="18"/>
    <x v="9"/>
    <n v="53518"/>
    <n v="53.518000000000001"/>
  </r>
  <r>
    <s v="29"/>
    <x v="18"/>
    <x v="10"/>
    <n v="51723"/>
    <n v="51.722999999999999"/>
  </r>
  <r>
    <s v="30"/>
    <x v="19"/>
    <x v="0"/>
    <n v="27192"/>
    <n v="27.192"/>
  </r>
  <r>
    <s v="30"/>
    <x v="19"/>
    <x v="1"/>
    <n v="27759"/>
    <n v="27.759"/>
  </r>
  <r>
    <s v="30"/>
    <x v="19"/>
    <x v="2"/>
    <n v="26403"/>
    <n v="26.402999999999999"/>
  </r>
  <r>
    <s v="30"/>
    <x v="19"/>
    <x v="3"/>
    <n v="31831"/>
    <n v="31.831"/>
  </r>
  <r>
    <s v="30"/>
    <x v="19"/>
    <x v="4"/>
    <n v="30603"/>
    <n v="30.603000000000002"/>
  </r>
  <r>
    <s v="30"/>
    <x v="19"/>
    <x v="5"/>
    <n v="31058"/>
    <n v="31.058"/>
  </r>
  <r>
    <s v="30"/>
    <x v="19"/>
    <x v="6"/>
    <n v="26800"/>
    <n v="26.8"/>
  </r>
  <r>
    <s v="30"/>
    <x v="19"/>
    <x v="7"/>
    <n v="25226"/>
    <n v="25.225999999999999"/>
  </r>
  <r>
    <s v="30"/>
    <x v="19"/>
    <x v="8"/>
    <n v="26989"/>
    <n v="26.989000000000001"/>
  </r>
  <r>
    <s v="30"/>
    <x v="19"/>
    <x v="9"/>
    <n v="28925"/>
    <n v="28.925000000000001"/>
  </r>
  <r>
    <s v="30"/>
    <x v="19"/>
    <x v="10"/>
    <n v="29554"/>
    <n v="29.553999999999998"/>
  </r>
  <r>
    <s v="31"/>
    <x v="20"/>
    <x v="0"/>
    <n v="6557"/>
    <n v="6.5570000000000004"/>
  </r>
  <r>
    <s v="31"/>
    <x v="20"/>
    <x v="1"/>
    <n v="6709"/>
    <n v="6.7089999999999996"/>
  </r>
  <r>
    <s v="31"/>
    <x v="20"/>
    <x v="2"/>
    <n v="7359"/>
    <n v="7.359"/>
  </r>
  <r>
    <s v="31"/>
    <x v="20"/>
    <x v="3"/>
    <n v="6996"/>
    <n v="6.9960000000000004"/>
  </r>
  <r>
    <s v="31"/>
    <x v="20"/>
    <x v="4"/>
    <n v="7178"/>
    <n v="7.1779999999999999"/>
  </r>
  <r>
    <s v="31"/>
    <x v="20"/>
    <x v="5"/>
    <n v="7367"/>
    <n v="7.367"/>
  </r>
  <r>
    <s v="31"/>
    <x v="20"/>
    <x v="6"/>
    <n v="6437"/>
    <n v="6.4370000000000003"/>
  </r>
  <r>
    <s v="31"/>
    <x v="20"/>
    <x v="7"/>
    <n v="7879"/>
    <n v="7.8789999999999996"/>
  </r>
  <r>
    <s v="31"/>
    <x v="20"/>
    <x v="8"/>
    <n v="8186"/>
    <n v="8.1859999999999999"/>
  </r>
  <r>
    <s v="31"/>
    <x v="20"/>
    <x v="9"/>
    <n v="7907"/>
    <n v="7.907"/>
  </r>
  <r>
    <s v="31"/>
    <x v="20"/>
    <x v="10"/>
    <n v="7246"/>
    <n v="7.2460000000000004"/>
  </r>
  <r>
    <s v="32"/>
    <x v="21"/>
    <x v="0"/>
    <n v="4771"/>
    <n v="4.7709999999999999"/>
  </r>
  <r>
    <s v="32"/>
    <x v="21"/>
    <x v="1"/>
    <n v="4932"/>
    <n v="4.9320000000000004"/>
  </r>
  <r>
    <s v="32"/>
    <x v="21"/>
    <x v="2"/>
    <n v="5146"/>
    <n v="5.1459999999999999"/>
  </r>
  <r>
    <s v="32"/>
    <x v="21"/>
    <x v="3"/>
    <n v="5441"/>
    <n v="5.4409999999999998"/>
  </r>
  <r>
    <s v="32"/>
    <x v="21"/>
    <x v="4"/>
    <n v="5610"/>
    <n v="5.61"/>
  </r>
  <r>
    <s v="32"/>
    <x v="21"/>
    <x v="5"/>
    <n v="6328"/>
    <n v="6.3280000000000003"/>
  </r>
  <r>
    <s v="32"/>
    <x v="21"/>
    <x v="6"/>
    <n v="7019"/>
    <n v="7.0190000000000001"/>
  </r>
  <r>
    <s v="32"/>
    <x v="21"/>
    <x v="7"/>
    <n v="7951"/>
    <n v="7.9509999999999996"/>
  </r>
  <r>
    <s v="32"/>
    <x v="21"/>
    <x v="8"/>
    <n v="9080"/>
    <n v="9.08"/>
  </r>
  <r>
    <s v="32"/>
    <x v="21"/>
    <x v="9"/>
    <n v="9617"/>
    <n v="9.6170000000000009"/>
  </r>
  <r>
    <s v="32"/>
    <x v="21"/>
    <x v="10"/>
    <n v="9447"/>
    <n v="9.4469999999999992"/>
  </r>
  <r>
    <s v="33"/>
    <x v="22"/>
    <x v="0"/>
    <n v="14086"/>
    <n v="14.086"/>
  </r>
  <r>
    <s v="33"/>
    <x v="22"/>
    <x v="1"/>
    <n v="14221"/>
    <n v="14.221"/>
  </r>
  <r>
    <s v="33"/>
    <x v="22"/>
    <x v="2"/>
    <n v="14207"/>
    <n v="14.207000000000001"/>
  </r>
  <r>
    <s v="33"/>
    <x v="22"/>
    <x v="3"/>
    <n v="15265"/>
    <n v="15.265000000000001"/>
  </r>
  <r>
    <s v="33"/>
    <x v="22"/>
    <x v="4"/>
    <n v="15816"/>
    <n v="15.816000000000001"/>
  </r>
  <r>
    <s v="33"/>
    <x v="22"/>
    <x v="5"/>
    <n v="15002"/>
    <n v="15.002000000000001"/>
  </r>
  <r>
    <s v="33"/>
    <x v="22"/>
    <x v="6"/>
    <n v="13452"/>
    <n v="13.452"/>
  </r>
  <r>
    <s v="33"/>
    <x v="22"/>
    <x v="7"/>
    <n v="13840"/>
    <n v="13.84"/>
  </r>
  <r>
    <s v="33"/>
    <x v="22"/>
    <x v="8"/>
    <n v="14697"/>
    <n v="14.696999999999999"/>
  </r>
  <r>
    <s v="33"/>
    <x v="22"/>
    <x v="9"/>
    <n v="16920"/>
    <n v="16.920000000000002"/>
  </r>
  <r>
    <s v="33"/>
    <x v="22"/>
    <x v="10"/>
    <n v="16317"/>
    <n v="16.317"/>
  </r>
  <r>
    <s v="All Divisions"/>
    <x v="23"/>
    <x v="0"/>
    <n v="362545"/>
    <n v="362.54500000000002"/>
  </r>
  <r>
    <s v="All Divisions"/>
    <x v="23"/>
    <x v="1"/>
    <n v="358143"/>
    <n v="358.14299999999997"/>
  </r>
  <r>
    <s v="All Divisions"/>
    <x v="23"/>
    <x v="2"/>
    <n v="365726"/>
    <n v="365.726"/>
  </r>
  <r>
    <s v="All Divisions"/>
    <x v="23"/>
    <x v="3"/>
    <n v="389316"/>
    <n v="389.31599999999997"/>
  </r>
  <r>
    <s v="All Divisions"/>
    <x v="23"/>
    <x v="4"/>
    <n v="401439"/>
    <n v="401.43900000000002"/>
  </r>
  <r>
    <s v="All Divisions"/>
    <x v="23"/>
    <x v="5"/>
    <n v="402184"/>
    <n v="402.18400000000003"/>
  </r>
  <r>
    <s v="All Divisions"/>
    <x v="23"/>
    <x v="6"/>
    <n v="366377"/>
    <n v="366.37700000000001"/>
  </r>
  <r>
    <s v="All Divisions"/>
    <x v="23"/>
    <x v="7"/>
    <n v="401471"/>
    <n v="401.471"/>
  </r>
  <r>
    <s v="All Divisions"/>
    <x v="23"/>
    <x v="8"/>
    <n v="438909"/>
    <n v="438.90899999999999"/>
  </r>
  <r>
    <s v="All Divisions"/>
    <x v="23"/>
    <x v="9"/>
    <n v="466696"/>
    <n v="466.69600000000003"/>
  </r>
  <r>
    <s v="All Divisions"/>
    <x v="23"/>
    <x v="10"/>
    <n v="452190"/>
    <n v="452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0:B62" firstHeaderRow="1" firstDataRow="1" firstDataCol="1"/>
  <pivotFields count="5"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_GBP_bn" fld="4" showDataAs="percentDiff" baseField="2" baseItem="1048828" numFmtId="10"/>
  </dataFields>
  <formats count="12">
    <format dxfId="24">
      <pivotArea collapsedLevelsAreSubtotals="1" fieldPosition="0">
        <references count="1">
          <reference field="2" count="1">
            <x v="4"/>
          </reference>
        </references>
      </pivotArea>
    </format>
    <format dxfId="25">
      <pivotArea collapsedLevelsAreSubtotals="1" fieldPosition="0">
        <references count="1">
          <reference field="2" count="1">
            <x v="4"/>
          </reference>
        </references>
      </pivotArea>
    </format>
    <format dxfId="26">
      <pivotArea collapsedLevelsAreSubtotals="1" fieldPosition="0">
        <references count="1">
          <reference field="2" count="1">
            <x v="4"/>
          </reference>
        </references>
      </pivotArea>
    </format>
    <format dxfId="27">
      <pivotArea collapsedLevelsAreSubtotals="1" fieldPosition="0">
        <references count="1">
          <reference field="2" count="1">
            <x v="4"/>
          </reference>
        </references>
      </pivotArea>
    </format>
    <format dxfId="28">
      <pivotArea collapsedLevelsAreSubtotals="1" fieldPosition="0">
        <references count="1">
          <reference field="2" count="1">
            <x v="4"/>
          </reference>
        </references>
      </pivotArea>
    </format>
    <format dxfId="29">
      <pivotArea collapsedLevelsAreSubtotals="1" fieldPosition="0">
        <references count="1">
          <reference field="2" count="1">
            <x v="4"/>
          </reference>
        </references>
      </pivotArea>
    </format>
    <format dxfId="30">
      <pivotArea collapsedLevelsAreSubtotals="1" fieldPosition="0">
        <references count="1">
          <reference field="2" count="0"/>
        </references>
      </pivotArea>
    </format>
    <format dxfId="31">
      <pivotArea collapsedLevelsAreSubtotals="1" fieldPosition="0">
        <references count="1">
          <reference field="2" count="0"/>
        </references>
      </pivotArea>
    </format>
    <format dxfId="32">
      <pivotArea collapsedLevelsAreSubtotals="1" fieldPosition="0">
        <references count="1">
          <reference field="2" count="0"/>
        </references>
      </pivotArea>
    </format>
    <format dxfId="2">
      <pivotArea outline="0" collapsedLevelsAreSubtotals="1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7:B28" firstHeaderRow="1" firstDataRow="1" firstDataCol="1"/>
  <pivotFields count="5">
    <pivotField showAll="0"/>
    <pivotField axis="axisRow" showAll="0" measureFilter="1" sortType="ascending">
      <items count="25">
        <item x="13"/>
        <item x="10"/>
        <item x="2"/>
        <item x="9"/>
        <item x="15"/>
        <item x="16"/>
        <item x="14"/>
        <item x="1"/>
        <item x="20"/>
        <item x="5"/>
        <item x="17"/>
        <item x="18"/>
        <item x="12"/>
        <item x="19"/>
        <item x="7"/>
        <item x="11"/>
        <item x="3"/>
        <item x="4"/>
        <item x="6"/>
        <item x="21"/>
        <item x="0"/>
        <item x="8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"/>
  </rowFields>
  <rowItems count="11">
    <i>
      <x v="22"/>
    </i>
    <i>
      <x v="2"/>
    </i>
    <i>
      <x v="15"/>
    </i>
    <i>
      <x v="3"/>
    </i>
    <i>
      <x v="10"/>
    </i>
    <i>
      <x v="13"/>
    </i>
    <i>
      <x v="6"/>
    </i>
    <i>
      <x v="11"/>
    </i>
    <i>
      <x v="7"/>
    </i>
    <i>
      <x v="23"/>
    </i>
    <i t="grand">
      <x/>
    </i>
  </rowItems>
  <colItems count="1">
    <i/>
  </colItems>
  <dataFields count="1">
    <dataField name="Sum of Sales_GBP_bn_x000a_" fld="4" showDataAs="percentOfTotal" baseField="0" baseItem="0" numFmtId="10"/>
  </dataFields>
  <formats count="3">
    <format dxfId="12">
      <pivotArea dataOnly="0" labelOnly="1" fieldPosition="0">
        <references count="1">
          <reference field="1" count="10">
            <x v="2"/>
            <x v="3"/>
            <x v="6"/>
            <x v="7"/>
            <x v="10"/>
            <x v="11"/>
            <x v="13"/>
            <x v="15"/>
            <x v="22"/>
            <x v="23"/>
          </reference>
        </references>
      </pivotArea>
    </format>
    <format dxfId="11">
      <pivotArea collapsedLevelsAreSubtotals="1" fieldPosition="0">
        <references count="1">
          <reference field="1" count="10">
            <x v="2"/>
            <x v="3"/>
            <x v="6"/>
            <x v="7"/>
            <x v="10"/>
            <x v="11"/>
            <x v="13"/>
            <x v="15"/>
            <x v="22"/>
            <x v="23"/>
          </reference>
        </references>
      </pivotArea>
    </format>
    <format dxfId="10">
      <pivotArea dataOnly="0" labelOnly="1" fieldPosition="0">
        <references count="1">
          <reference field="1" count="10">
            <x v="2"/>
            <x v="3"/>
            <x v="6"/>
            <x v="7"/>
            <x v="10"/>
            <x v="11"/>
            <x v="13"/>
            <x v="15"/>
            <x v="22"/>
            <x v="2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3" firstHeaderRow="1" firstDataRow="1" firstDataCol="1"/>
  <pivotFields count="5"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_GBP_bn_x000a_" fld="4" baseField="0" baseItem="0"/>
  </dataFields>
  <formats count="8">
    <format dxfId="33">
      <pivotArea dataOnly="0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Standard industrial classification" tableColumnId="11"/>
      <queryTableField id="2" name="Division_x000a__x000a_" tableColumnId="12"/>
      <queryTableField id="3" name="Year" tableColumnId="13"/>
      <queryTableField id="4" name="Sales_GBP_m" tableColumnId="14"/>
      <queryTableField id="5" name="Sales_GBP_bn_x000a_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2_2014_to_2024" displayName="table_2_2014_to_2024" ref="A7:M32" headerRowDxfId="23">
  <autoFilter ref="A7:M32"/>
  <tableColumns count="13">
    <tableColumn id="1" name="Division_x000a__x000a_[note 3]"/>
    <tableColumn id="2" name="Standard industrial classification (revised 2007) Division" dataDxfId="45"/>
    <tableColumn id="3" name="2014" dataDxfId="44"/>
    <tableColumn id="4" name="2015" dataDxfId="43"/>
    <tableColumn id="5" name="2016" dataDxfId="42"/>
    <tableColumn id="6" name="2017" dataDxfId="41"/>
    <tableColumn id="7" name="2018" dataDxfId="40"/>
    <tableColumn id="8" name="2019" dataDxfId="39"/>
    <tableColumn id="9" name="2020" dataDxfId="38"/>
    <tableColumn id="10" name="2021" dataDxfId="37"/>
    <tableColumn id="11" name="2022" dataDxfId="36"/>
    <tableColumn id="12" name="2023" dataDxfId="35"/>
    <tableColumn id="13" name="2024" dataDxfId="34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id="7" name="tbl_msp_divisions__4" displayName="tbl_msp_divisions__4" ref="A1:E259" tableType="queryTable" totalsRowShown="0">
  <autoFilter ref="A1:E259"/>
  <tableColumns count="5">
    <tableColumn id="11" uniqueName="11" name="Standard industrial classification" queryTableFieldId="1"/>
    <tableColumn id="12" uniqueName="12" name="Division_x000a__x000a_" queryTableFieldId="2"/>
    <tableColumn id="13" uniqueName="13" name="Year" queryTableFieldId="3"/>
    <tableColumn id="14" uniqueName="14" name="Sales_GBP_m" queryTableFieldId="4"/>
    <tableColumn id="15" uniqueName="15" name="Sales_GBP_bn_x000a_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B9" sqref="B9"/>
    </sheetView>
  </sheetViews>
  <sheetFormatPr defaultRowHeight="15" x14ac:dyDescent="0.25"/>
  <cols>
    <col min="1" max="1" width="14.7109375" customWidth="1"/>
    <col min="2" max="2" width="52" customWidth="1"/>
    <col min="3" max="13" width="11" bestFit="1" customWidth="1"/>
    <col min="14" max="16" width="17" customWidth="1"/>
  </cols>
  <sheetData>
    <row r="1" spans="1:13" ht="18" x14ac:dyDescent="0.25">
      <c r="A1" s="1" t="s">
        <v>0</v>
      </c>
    </row>
    <row r="2" spans="1:13" x14ac:dyDescent="0.25">
      <c r="A2" s="2" t="s">
        <v>1</v>
      </c>
    </row>
    <row r="3" spans="1:13" x14ac:dyDescent="0.25">
      <c r="A3" s="2" t="s">
        <v>2</v>
      </c>
    </row>
    <row r="4" spans="1:13" x14ac:dyDescent="0.25">
      <c r="A4" s="2" t="s">
        <v>3</v>
      </c>
    </row>
    <row r="5" spans="1:13" x14ac:dyDescent="0.25">
      <c r="A5" s="2" t="s">
        <v>4</v>
      </c>
    </row>
    <row r="6" spans="1:13" ht="15.75" x14ac:dyDescent="0.25">
      <c r="A6" s="3" t="str">
        <f>HYPERLINK("#'Contents'!A1", "Return to contents table")</f>
        <v>Return to contents table</v>
      </c>
    </row>
    <row r="7" spans="1:13" ht="47.25" x14ac:dyDescent="0.25">
      <c r="A7" s="20" t="s">
        <v>5</v>
      </c>
      <c r="B7" s="17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9" t="s">
        <v>17</v>
      </c>
    </row>
    <row r="8" spans="1:13" ht="30" x14ac:dyDescent="0.25">
      <c r="A8" s="4" t="s">
        <v>18</v>
      </c>
      <c r="B8" s="5">
        <v>8</v>
      </c>
      <c r="C8" s="6">
        <v>2315</v>
      </c>
      <c r="D8" s="6">
        <v>1738</v>
      </c>
      <c r="E8" s="6">
        <v>1915</v>
      </c>
      <c r="F8" s="6">
        <v>2293</v>
      </c>
      <c r="G8" s="6">
        <v>2317</v>
      </c>
      <c r="H8" s="6">
        <v>2264</v>
      </c>
      <c r="I8" s="6">
        <v>2221</v>
      </c>
      <c r="J8" s="6">
        <v>2335</v>
      </c>
      <c r="K8" s="6">
        <v>3136</v>
      </c>
      <c r="L8" s="6">
        <v>2978</v>
      </c>
      <c r="M8" s="7">
        <v>3921</v>
      </c>
    </row>
    <row r="9" spans="1:13" ht="30" x14ac:dyDescent="0.25">
      <c r="A9" s="4" t="s">
        <v>19</v>
      </c>
      <c r="B9" s="5">
        <v>10</v>
      </c>
      <c r="C9" s="6">
        <v>67053</v>
      </c>
      <c r="D9" s="6">
        <v>66176</v>
      </c>
      <c r="E9" s="6">
        <v>65668</v>
      </c>
      <c r="F9" s="6">
        <v>70236</v>
      </c>
      <c r="G9" s="6">
        <v>73639</v>
      </c>
      <c r="H9" s="6">
        <v>75147</v>
      </c>
      <c r="I9" s="6">
        <v>74018</v>
      </c>
      <c r="J9" s="6">
        <v>79960</v>
      </c>
      <c r="K9" s="6">
        <v>89998</v>
      </c>
      <c r="L9" s="6">
        <v>95933</v>
      </c>
      <c r="M9" s="7">
        <v>95926</v>
      </c>
    </row>
    <row r="10" spans="1:13" ht="45" x14ac:dyDescent="0.25">
      <c r="A10" s="4" t="s">
        <v>20</v>
      </c>
      <c r="B10" s="5" t="s">
        <v>21</v>
      </c>
      <c r="C10" s="6" t="s">
        <v>22</v>
      </c>
      <c r="D10" s="6">
        <v>14599</v>
      </c>
      <c r="E10" s="6">
        <v>13882</v>
      </c>
      <c r="F10" s="6">
        <v>13537</v>
      </c>
      <c r="G10" s="6">
        <v>14619</v>
      </c>
      <c r="H10" s="6">
        <v>15150</v>
      </c>
      <c r="I10" s="6">
        <v>14112</v>
      </c>
      <c r="J10" s="6">
        <v>16166</v>
      </c>
      <c r="K10" s="6">
        <v>18032</v>
      </c>
      <c r="L10" s="6">
        <v>23447</v>
      </c>
      <c r="M10" s="7">
        <v>23991</v>
      </c>
    </row>
    <row r="11" spans="1:13" ht="15.75" x14ac:dyDescent="0.25">
      <c r="A11" s="4" t="s">
        <v>23</v>
      </c>
      <c r="B11" s="5">
        <v>13</v>
      </c>
      <c r="C11" s="6" t="s">
        <v>22</v>
      </c>
      <c r="D11" s="6">
        <v>4193</v>
      </c>
      <c r="E11" s="6">
        <v>4301</v>
      </c>
      <c r="F11" s="6">
        <v>4083</v>
      </c>
      <c r="G11" s="6">
        <v>4281</v>
      </c>
      <c r="H11" s="6">
        <v>4530</v>
      </c>
      <c r="I11" s="6">
        <v>4006</v>
      </c>
      <c r="J11" s="6">
        <v>4454</v>
      </c>
      <c r="K11" s="6">
        <v>4579</v>
      </c>
      <c r="L11" s="6">
        <v>4937</v>
      </c>
      <c r="M11" s="7">
        <v>4318</v>
      </c>
    </row>
    <row r="12" spans="1:13" ht="30" x14ac:dyDescent="0.25">
      <c r="A12" s="4" t="s">
        <v>24</v>
      </c>
      <c r="B12" s="5">
        <v>14</v>
      </c>
      <c r="C12" s="6">
        <v>1830</v>
      </c>
      <c r="D12" s="6">
        <v>1665</v>
      </c>
      <c r="E12" s="6">
        <v>1620</v>
      </c>
      <c r="F12" s="6">
        <v>1513</v>
      </c>
      <c r="G12" s="6">
        <v>1522</v>
      </c>
      <c r="H12" s="6">
        <v>1605</v>
      </c>
      <c r="I12" s="6">
        <v>1384</v>
      </c>
      <c r="J12" s="6">
        <v>1207</v>
      </c>
      <c r="K12" s="6">
        <v>1399</v>
      </c>
      <c r="L12" s="6">
        <v>1458</v>
      </c>
      <c r="M12" s="7">
        <v>1417</v>
      </c>
    </row>
    <row r="13" spans="1:13" ht="30" x14ac:dyDescent="0.25">
      <c r="A13" s="4" t="s">
        <v>25</v>
      </c>
      <c r="B13" s="5">
        <v>15</v>
      </c>
      <c r="C13" s="6">
        <v>681</v>
      </c>
      <c r="D13" s="6">
        <v>690</v>
      </c>
      <c r="E13" s="6">
        <v>683</v>
      </c>
      <c r="F13" s="6">
        <v>741</v>
      </c>
      <c r="G13" s="6">
        <v>755</v>
      </c>
      <c r="H13" s="6">
        <v>733</v>
      </c>
      <c r="I13" s="6">
        <v>527</v>
      </c>
      <c r="J13" s="6">
        <v>533</v>
      </c>
      <c r="K13" s="6">
        <v>579</v>
      </c>
      <c r="L13" s="6">
        <v>561</v>
      </c>
      <c r="M13" s="7">
        <v>535</v>
      </c>
    </row>
    <row r="14" spans="1:13" ht="90" x14ac:dyDescent="0.25">
      <c r="A14" s="4" t="s">
        <v>26</v>
      </c>
      <c r="B14" s="5">
        <v>16</v>
      </c>
      <c r="C14" s="6" t="s">
        <v>22</v>
      </c>
      <c r="D14" s="6">
        <v>6534</v>
      </c>
      <c r="E14" s="6">
        <v>6453</v>
      </c>
      <c r="F14" s="6">
        <v>6924</v>
      </c>
      <c r="G14" s="6">
        <v>7343</v>
      </c>
      <c r="H14" s="6">
        <v>7645</v>
      </c>
      <c r="I14" s="6">
        <v>7476</v>
      </c>
      <c r="J14" s="6">
        <v>9292</v>
      </c>
      <c r="K14" s="6">
        <v>11217</v>
      </c>
      <c r="L14" s="6">
        <v>9688</v>
      </c>
      <c r="M14" s="7">
        <v>8863</v>
      </c>
    </row>
    <row r="15" spans="1:13" ht="30" x14ac:dyDescent="0.25">
      <c r="A15" s="4" t="s">
        <v>27</v>
      </c>
      <c r="B15" s="5">
        <v>17</v>
      </c>
      <c r="C15" s="6">
        <v>10364</v>
      </c>
      <c r="D15" s="6">
        <v>10105</v>
      </c>
      <c r="E15" s="6">
        <v>9866</v>
      </c>
      <c r="F15" s="6">
        <v>10240</v>
      </c>
      <c r="G15" s="6">
        <v>10773</v>
      </c>
      <c r="H15" s="6">
        <v>10837</v>
      </c>
      <c r="I15" s="6">
        <v>10786</v>
      </c>
      <c r="J15" s="6">
        <v>11767</v>
      </c>
      <c r="K15" s="6">
        <v>13689</v>
      </c>
      <c r="L15" s="6">
        <v>13335</v>
      </c>
      <c r="M15" s="7">
        <v>13620</v>
      </c>
    </row>
    <row r="16" spans="1:13" ht="45" x14ac:dyDescent="0.25">
      <c r="A16" s="4" t="s">
        <v>28</v>
      </c>
      <c r="B16" s="5">
        <v>18</v>
      </c>
      <c r="C16" s="6" t="s">
        <v>22</v>
      </c>
      <c r="D16" s="6">
        <v>7910</v>
      </c>
      <c r="E16" s="6">
        <v>7821</v>
      </c>
      <c r="F16" s="6">
        <v>8123</v>
      </c>
      <c r="G16" s="6">
        <v>8232</v>
      </c>
      <c r="H16" s="6">
        <v>7619</v>
      </c>
      <c r="I16" s="6">
        <v>6205</v>
      </c>
      <c r="J16" s="6">
        <v>6332</v>
      </c>
      <c r="K16" s="6">
        <v>7105</v>
      </c>
      <c r="L16" s="6">
        <v>7484</v>
      </c>
      <c r="M16" s="7">
        <v>6332</v>
      </c>
    </row>
    <row r="17" spans="1:13" ht="45" x14ac:dyDescent="0.25">
      <c r="A17" s="4" t="s">
        <v>29</v>
      </c>
      <c r="B17" s="5">
        <v>19</v>
      </c>
      <c r="C17" s="6" t="s">
        <v>22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0</v>
      </c>
    </row>
    <row r="18" spans="1:13" ht="45" x14ac:dyDescent="0.25">
      <c r="A18" s="4" t="s">
        <v>30</v>
      </c>
      <c r="B18" s="5">
        <v>20</v>
      </c>
      <c r="C18" s="6">
        <v>21431</v>
      </c>
      <c r="D18" s="6">
        <v>20453</v>
      </c>
      <c r="E18" s="6">
        <v>21703</v>
      </c>
      <c r="F18" s="6">
        <v>24082</v>
      </c>
      <c r="G18" s="6">
        <v>24968</v>
      </c>
      <c r="H18" s="6">
        <v>26018</v>
      </c>
      <c r="I18" s="6">
        <v>24703</v>
      </c>
      <c r="J18" s="6">
        <v>30059</v>
      </c>
      <c r="K18" s="6">
        <v>31664</v>
      </c>
      <c r="L18" s="6">
        <v>30411</v>
      </c>
      <c r="M18" s="7">
        <v>29267</v>
      </c>
    </row>
    <row r="19" spans="1:13" ht="75" x14ac:dyDescent="0.25">
      <c r="A19" s="4" t="s">
        <v>31</v>
      </c>
      <c r="B19" s="5">
        <v>21</v>
      </c>
      <c r="C19" s="6">
        <v>10914</v>
      </c>
      <c r="D19" s="6">
        <v>10799</v>
      </c>
      <c r="E19" s="6">
        <v>12890</v>
      </c>
      <c r="F19" s="6">
        <v>11870</v>
      </c>
      <c r="G19" s="6">
        <v>13560</v>
      </c>
      <c r="H19" s="6">
        <v>13835</v>
      </c>
      <c r="I19" s="6">
        <v>15086</v>
      </c>
      <c r="J19" s="6">
        <v>15187</v>
      </c>
      <c r="K19" s="6">
        <v>15577</v>
      </c>
      <c r="L19" s="6">
        <v>15553</v>
      </c>
      <c r="M19" s="7">
        <v>14320</v>
      </c>
    </row>
    <row r="20" spans="1:13" ht="30" x14ac:dyDescent="0.25">
      <c r="A20" s="4" t="s">
        <v>32</v>
      </c>
      <c r="B20" s="5">
        <v>22</v>
      </c>
      <c r="C20" s="6" t="s">
        <v>22</v>
      </c>
      <c r="D20" s="6">
        <v>19226</v>
      </c>
      <c r="E20" s="6">
        <v>19541</v>
      </c>
      <c r="F20" s="6">
        <v>20244</v>
      </c>
      <c r="G20" s="6">
        <v>20466</v>
      </c>
      <c r="H20" s="6">
        <v>19921</v>
      </c>
      <c r="I20" s="6">
        <v>19018</v>
      </c>
      <c r="J20" s="6">
        <v>20937</v>
      </c>
      <c r="K20" s="6">
        <v>23217</v>
      </c>
      <c r="L20" s="6">
        <v>22770</v>
      </c>
      <c r="M20" s="7">
        <v>21665</v>
      </c>
    </row>
    <row r="21" spans="1:13" ht="45" x14ac:dyDescent="0.25">
      <c r="A21" s="4" t="s">
        <v>33</v>
      </c>
      <c r="B21" s="5">
        <v>23</v>
      </c>
      <c r="C21" s="6">
        <v>11468</v>
      </c>
      <c r="D21" s="6">
        <v>12436</v>
      </c>
      <c r="E21" s="6">
        <v>13175</v>
      </c>
      <c r="F21" s="6">
        <v>13893</v>
      </c>
      <c r="G21" s="6">
        <v>14217</v>
      </c>
      <c r="H21" s="6">
        <v>14518</v>
      </c>
      <c r="I21" s="6">
        <v>12956</v>
      </c>
      <c r="J21" s="6">
        <v>14847</v>
      </c>
      <c r="K21" s="6">
        <v>17512</v>
      </c>
      <c r="L21" s="6">
        <v>17996</v>
      </c>
      <c r="M21" s="7">
        <v>16276</v>
      </c>
    </row>
    <row r="22" spans="1:13" ht="30" x14ac:dyDescent="0.25">
      <c r="A22" s="4" t="s">
        <v>34</v>
      </c>
      <c r="B22" s="5">
        <v>24</v>
      </c>
      <c r="C22" s="6">
        <v>6583</v>
      </c>
      <c r="D22" s="6">
        <v>5926</v>
      </c>
      <c r="E22" s="6">
        <v>5626</v>
      </c>
      <c r="F22" s="6">
        <v>6258</v>
      </c>
      <c r="G22" s="6">
        <v>6678</v>
      </c>
      <c r="H22" s="6">
        <v>6201</v>
      </c>
      <c r="I22" s="6">
        <v>5171</v>
      </c>
      <c r="J22" s="6">
        <v>6121</v>
      </c>
      <c r="K22" s="6">
        <v>7290</v>
      </c>
      <c r="L22" s="6">
        <v>6990</v>
      </c>
      <c r="M22" s="7">
        <v>6962</v>
      </c>
    </row>
    <row r="23" spans="1:13" ht="75" x14ac:dyDescent="0.25">
      <c r="A23" s="4" t="s">
        <v>35</v>
      </c>
      <c r="B23" s="5">
        <v>25</v>
      </c>
      <c r="C23" s="6">
        <v>25551</v>
      </c>
      <c r="D23" s="6">
        <v>26439</v>
      </c>
      <c r="E23" s="6">
        <v>26392</v>
      </c>
      <c r="F23" s="6">
        <v>27775</v>
      </c>
      <c r="G23" s="6">
        <v>28752</v>
      </c>
      <c r="H23" s="6">
        <v>29181</v>
      </c>
      <c r="I23" s="6">
        <v>26371</v>
      </c>
      <c r="J23" s="6">
        <v>29795</v>
      </c>
      <c r="K23" s="6">
        <v>33278</v>
      </c>
      <c r="L23" s="6">
        <v>35681</v>
      </c>
      <c r="M23" s="7">
        <v>32886</v>
      </c>
    </row>
    <row r="24" spans="1:13" ht="45" x14ac:dyDescent="0.25">
      <c r="A24" s="4" t="s">
        <v>36</v>
      </c>
      <c r="B24" s="5">
        <v>26</v>
      </c>
      <c r="C24" s="6">
        <v>12145</v>
      </c>
      <c r="D24" s="6">
        <v>12166</v>
      </c>
      <c r="E24" s="6">
        <v>12277</v>
      </c>
      <c r="F24" s="6">
        <v>12829</v>
      </c>
      <c r="G24" s="6">
        <v>14096</v>
      </c>
      <c r="H24" s="6">
        <v>15021</v>
      </c>
      <c r="I24" s="6">
        <v>14435</v>
      </c>
      <c r="J24" s="6">
        <v>14696</v>
      </c>
      <c r="K24" s="6">
        <v>15655</v>
      </c>
      <c r="L24" s="6">
        <v>15727</v>
      </c>
      <c r="M24" s="7">
        <v>15959</v>
      </c>
    </row>
    <row r="25" spans="1:13" ht="30" x14ac:dyDescent="0.25">
      <c r="A25" s="4" t="s">
        <v>37</v>
      </c>
      <c r="B25" s="5">
        <v>27</v>
      </c>
      <c r="C25" s="6" t="s">
        <v>22</v>
      </c>
      <c r="D25" s="6">
        <v>10288</v>
      </c>
      <c r="E25" s="6">
        <v>10005</v>
      </c>
      <c r="F25" s="6">
        <v>10629</v>
      </c>
      <c r="G25" s="6">
        <v>10927</v>
      </c>
      <c r="H25" s="6">
        <v>11029</v>
      </c>
      <c r="I25" s="6">
        <v>9554</v>
      </c>
      <c r="J25" s="6">
        <v>10482</v>
      </c>
      <c r="K25" s="6">
        <v>10934</v>
      </c>
      <c r="L25" s="6">
        <v>11316</v>
      </c>
      <c r="M25" s="7">
        <v>11246</v>
      </c>
    </row>
    <row r="26" spans="1:13" ht="60" x14ac:dyDescent="0.25">
      <c r="A26" s="4" t="s">
        <v>38</v>
      </c>
      <c r="B26" s="5">
        <v>28</v>
      </c>
      <c r="C26" s="6">
        <v>27581</v>
      </c>
      <c r="D26" s="6">
        <v>24756</v>
      </c>
      <c r="E26" s="6">
        <v>23954</v>
      </c>
      <c r="F26" s="6">
        <v>26109</v>
      </c>
      <c r="G26" s="6">
        <v>28351</v>
      </c>
      <c r="H26" s="6">
        <v>28544</v>
      </c>
      <c r="I26" s="6">
        <v>25276</v>
      </c>
      <c r="J26" s="6">
        <v>28501</v>
      </c>
      <c r="K26" s="6">
        <v>31423</v>
      </c>
      <c r="L26" s="6">
        <v>33544</v>
      </c>
      <c r="M26" s="7">
        <v>30398</v>
      </c>
    </row>
    <row r="27" spans="1:13" ht="45" x14ac:dyDescent="0.25">
      <c r="A27" s="4" t="s">
        <v>39</v>
      </c>
      <c r="B27" s="5">
        <v>29</v>
      </c>
      <c r="C27" s="6">
        <v>47382</v>
      </c>
      <c r="D27" s="6">
        <v>48424</v>
      </c>
      <c r="E27" s="6">
        <v>54839</v>
      </c>
      <c r="F27" s="6">
        <v>58404</v>
      </c>
      <c r="G27" s="6">
        <v>56738</v>
      </c>
      <c r="H27" s="6">
        <v>52631</v>
      </c>
      <c r="I27" s="6">
        <v>39364</v>
      </c>
      <c r="J27" s="6">
        <v>43904</v>
      </c>
      <c r="K27" s="6">
        <v>43675</v>
      </c>
      <c r="L27" s="6">
        <v>53518</v>
      </c>
      <c r="M27" s="7">
        <v>51723</v>
      </c>
    </row>
    <row r="28" spans="1:13" ht="30" x14ac:dyDescent="0.25">
      <c r="A28" s="4" t="s">
        <v>40</v>
      </c>
      <c r="B28" s="5">
        <v>30</v>
      </c>
      <c r="C28" s="6">
        <v>27192</v>
      </c>
      <c r="D28" s="6">
        <v>27759</v>
      </c>
      <c r="E28" s="6">
        <v>26403</v>
      </c>
      <c r="F28" s="6">
        <v>31831</v>
      </c>
      <c r="G28" s="6">
        <v>30603</v>
      </c>
      <c r="H28" s="6">
        <v>31058</v>
      </c>
      <c r="I28" s="6">
        <v>26800</v>
      </c>
      <c r="J28" s="6">
        <v>25226</v>
      </c>
      <c r="K28" s="6">
        <v>26989</v>
      </c>
      <c r="L28" s="6">
        <v>28925</v>
      </c>
      <c r="M28" s="7">
        <v>29554</v>
      </c>
    </row>
    <row r="29" spans="1:13" ht="15.75" x14ac:dyDescent="0.25">
      <c r="A29" s="4" t="s">
        <v>41</v>
      </c>
      <c r="B29" s="5">
        <v>31</v>
      </c>
      <c r="C29" s="6">
        <v>6557</v>
      </c>
      <c r="D29" s="6">
        <v>6709</v>
      </c>
      <c r="E29" s="6">
        <v>7359</v>
      </c>
      <c r="F29" s="6">
        <v>6996</v>
      </c>
      <c r="G29" s="6">
        <v>7178</v>
      </c>
      <c r="H29" s="6">
        <v>7367</v>
      </c>
      <c r="I29" s="6">
        <v>6437</v>
      </c>
      <c r="J29" s="6">
        <v>7879</v>
      </c>
      <c r="K29" s="6">
        <v>8186</v>
      </c>
      <c r="L29" s="6">
        <v>7907</v>
      </c>
      <c r="M29" s="7">
        <v>7246</v>
      </c>
    </row>
    <row r="30" spans="1:13" ht="15.75" x14ac:dyDescent="0.25">
      <c r="A30" s="4" t="s">
        <v>42</v>
      </c>
      <c r="B30" s="5">
        <v>32</v>
      </c>
      <c r="C30" s="6">
        <v>4771</v>
      </c>
      <c r="D30" s="6">
        <v>4932</v>
      </c>
      <c r="E30" s="6">
        <v>5146</v>
      </c>
      <c r="F30" s="6">
        <v>5441</v>
      </c>
      <c r="G30" s="6">
        <v>5610</v>
      </c>
      <c r="H30" s="6">
        <v>6328</v>
      </c>
      <c r="I30" s="6">
        <v>7019</v>
      </c>
      <c r="J30" s="6">
        <v>7951</v>
      </c>
      <c r="K30" s="6">
        <v>9080</v>
      </c>
      <c r="L30" s="6">
        <v>9617</v>
      </c>
      <c r="M30" s="7">
        <v>9447</v>
      </c>
    </row>
    <row r="31" spans="1:13" ht="45" x14ac:dyDescent="0.25">
      <c r="A31" s="4" t="s">
        <v>43</v>
      </c>
      <c r="B31" s="5">
        <v>33</v>
      </c>
      <c r="C31" s="6">
        <v>14086</v>
      </c>
      <c r="D31" s="6">
        <v>14221</v>
      </c>
      <c r="E31" s="6">
        <v>14207</v>
      </c>
      <c r="F31" s="6">
        <v>15265</v>
      </c>
      <c r="G31" s="6">
        <v>15816</v>
      </c>
      <c r="H31" s="6">
        <v>15002</v>
      </c>
      <c r="I31" s="6">
        <v>13452</v>
      </c>
      <c r="J31" s="6">
        <v>13840</v>
      </c>
      <c r="K31" s="6">
        <v>14697</v>
      </c>
      <c r="L31" s="6">
        <v>16920</v>
      </c>
      <c r="M31" s="7">
        <v>16317</v>
      </c>
    </row>
    <row r="32" spans="1:13" ht="15.75" x14ac:dyDescent="0.25">
      <c r="A32" s="8" t="s">
        <v>44</v>
      </c>
      <c r="B32" s="9" t="s">
        <v>45</v>
      </c>
      <c r="C32" s="10">
        <v>362545</v>
      </c>
      <c r="D32" s="10">
        <v>358143</v>
      </c>
      <c r="E32" s="10">
        <v>365726</v>
      </c>
      <c r="F32" s="10">
        <v>389316</v>
      </c>
      <c r="G32" s="10">
        <v>401439</v>
      </c>
      <c r="H32" s="10">
        <v>402184</v>
      </c>
      <c r="I32" s="10">
        <v>366377</v>
      </c>
      <c r="J32" s="10">
        <v>401471</v>
      </c>
      <c r="K32" s="10">
        <v>438909</v>
      </c>
      <c r="L32" s="10">
        <v>466696</v>
      </c>
      <c r="M32" s="11">
        <v>452190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"/>
  <sheetViews>
    <sheetView workbookViewId="0">
      <selection activeCell="A7" sqref="A7"/>
    </sheetView>
  </sheetViews>
  <sheetFormatPr defaultRowHeight="15" x14ac:dyDescent="0.25"/>
  <cols>
    <col min="1" max="1" width="32.5703125" bestFit="1" customWidth="1"/>
    <col min="2" max="2" width="117.42578125" bestFit="1" customWidth="1"/>
    <col min="3" max="3" width="7.28515625" bestFit="1" customWidth="1"/>
    <col min="4" max="4" width="15.42578125" bestFit="1" customWidth="1"/>
    <col min="5" max="5" width="16" bestFit="1" customWidth="1"/>
  </cols>
  <sheetData>
    <row r="1" spans="1:5" ht="45" x14ac:dyDescent="0.25">
      <c r="A1" s="12" t="s">
        <v>71</v>
      </c>
      <c r="B1" s="13" t="s">
        <v>46</v>
      </c>
      <c r="C1" s="12" t="s">
        <v>47</v>
      </c>
      <c r="D1" s="12" t="s">
        <v>48</v>
      </c>
      <c r="E1" s="13" t="s">
        <v>74</v>
      </c>
    </row>
    <row r="2" spans="1:5" x14ac:dyDescent="0.25">
      <c r="A2" s="12" t="s">
        <v>49</v>
      </c>
      <c r="B2" s="12" t="s">
        <v>18</v>
      </c>
      <c r="C2" s="12">
        <v>2014</v>
      </c>
      <c r="D2" s="12">
        <v>2315</v>
      </c>
      <c r="E2" s="12">
        <v>2.3149999999999999</v>
      </c>
    </row>
    <row r="3" spans="1:5" x14ac:dyDescent="0.25">
      <c r="A3" s="12" t="s">
        <v>49</v>
      </c>
      <c r="B3" s="12" t="s">
        <v>18</v>
      </c>
      <c r="C3" s="12">
        <v>2015</v>
      </c>
      <c r="D3" s="12">
        <v>1738</v>
      </c>
      <c r="E3" s="12">
        <v>1.738</v>
      </c>
    </row>
    <row r="4" spans="1:5" x14ac:dyDescent="0.25">
      <c r="A4" s="12" t="s">
        <v>49</v>
      </c>
      <c r="B4" s="12" t="s">
        <v>18</v>
      </c>
      <c r="C4" s="12">
        <v>2016</v>
      </c>
      <c r="D4" s="12">
        <v>1915</v>
      </c>
      <c r="E4" s="12">
        <v>1.915</v>
      </c>
    </row>
    <row r="5" spans="1:5" x14ac:dyDescent="0.25">
      <c r="A5" s="12" t="s">
        <v>49</v>
      </c>
      <c r="B5" s="12" t="s">
        <v>18</v>
      </c>
      <c r="C5" s="12">
        <v>2017</v>
      </c>
      <c r="D5" s="12">
        <v>2293</v>
      </c>
      <c r="E5" s="12">
        <v>2.2930000000000001</v>
      </c>
    </row>
    <row r="6" spans="1:5" x14ac:dyDescent="0.25">
      <c r="A6" s="12" t="s">
        <v>49</v>
      </c>
      <c r="B6" s="12" t="s">
        <v>18</v>
      </c>
      <c r="C6" s="12">
        <v>2018</v>
      </c>
      <c r="D6" s="12">
        <v>2317</v>
      </c>
      <c r="E6" s="12">
        <v>2.3170000000000002</v>
      </c>
    </row>
    <row r="7" spans="1:5" x14ac:dyDescent="0.25">
      <c r="A7" s="12" t="s">
        <v>49</v>
      </c>
      <c r="B7" s="12" t="s">
        <v>18</v>
      </c>
      <c r="C7" s="12">
        <v>2019</v>
      </c>
      <c r="D7" s="12">
        <v>2264</v>
      </c>
      <c r="E7" s="12">
        <v>2.2639999999999998</v>
      </c>
    </row>
    <row r="8" spans="1:5" x14ac:dyDescent="0.25">
      <c r="A8" s="12" t="s">
        <v>49</v>
      </c>
      <c r="B8" s="12" t="s">
        <v>18</v>
      </c>
      <c r="C8" s="12">
        <v>2020</v>
      </c>
      <c r="D8" s="12">
        <v>2221</v>
      </c>
      <c r="E8" s="12">
        <v>2.2210000000000001</v>
      </c>
    </row>
    <row r="9" spans="1:5" x14ac:dyDescent="0.25">
      <c r="A9" s="12" t="s">
        <v>49</v>
      </c>
      <c r="B9" s="12" t="s">
        <v>18</v>
      </c>
      <c r="C9" s="12">
        <v>2021</v>
      </c>
      <c r="D9" s="12">
        <v>2335</v>
      </c>
      <c r="E9" s="12">
        <v>2.335</v>
      </c>
    </row>
    <row r="10" spans="1:5" x14ac:dyDescent="0.25">
      <c r="A10" s="12" t="s">
        <v>49</v>
      </c>
      <c r="B10" s="12" t="s">
        <v>18</v>
      </c>
      <c r="C10" s="12">
        <v>2022</v>
      </c>
      <c r="D10" s="12">
        <v>3136</v>
      </c>
      <c r="E10" s="12">
        <v>3.1360000000000001</v>
      </c>
    </row>
    <row r="11" spans="1:5" x14ac:dyDescent="0.25">
      <c r="A11" s="12" t="s">
        <v>49</v>
      </c>
      <c r="B11" s="12" t="s">
        <v>18</v>
      </c>
      <c r="C11" s="12">
        <v>2023</v>
      </c>
      <c r="D11" s="12">
        <v>2978</v>
      </c>
      <c r="E11" s="12">
        <v>2.9780000000000002</v>
      </c>
    </row>
    <row r="12" spans="1:5" x14ac:dyDescent="0.25">
      <c r="A12" s="12" t="s">
        <v>49</v>
      </c>
      <c r="B12" s="12" t="s">
        <v>18</v>
      </c>
      <c r="C12" s="12">
        <v>2024</v>
      </c>
      <c r="D12" s="12">
        <v>3921</v>
      </c>
      <c r="E12" s="12">
        <v>3.9209999999999998</v>
      </c>
    </row>
    <row r="13" spans="1:5" x14ac:dyDescent="0.25">
      <c r="A13" s="12" t="s">
        <v>50</v>
      </c>
      <c r="B13" s="12" t="s">
        <v>19</v>
      </c>
      <c r="C13" s="12">
        <v>2014</v>
      </c>
      <c r="D13" s="12">
        <v>67053</v>
      </c>
      <c r="E13" s="12">
        <v>67.052999999999997</v>
      </c>
    </row>
    <row r="14" spans="1:5" x14ac:dyDescent="0.25">
      <c r="A14" s="12" t="s">
        <v>50</v>
      </c>
      <c r="B14" s="12" t="s">
        <v>19</v>
      </c>
      <c r="C14" s="12">
        <v>2015</v>
      </c>
      <c r="D14" s="12">
        <v>66176</v>
      </c>
      <c r="E14" s="12">
        <v>66.176000000000002</v>
      </c>
    </row>
    <row r="15" spans="1:5" x14ac:dyDescent="0.25">
      <c r="A15" s="12" t="s">
        <v>50</v>
      </c>
      <c r="B15" s="12" t="s">
        <v>19</v>
      </c>
      <c r="C15" s="12">
        <v>2016</v>
      </c>
      <c r="D15" s="12">
        <v>65668</v>
      </c>
      <c r="E15" s="12">
        <v>65.668000000000006</v>
      </c>
    </row>
    <row r="16" spans="1:5" x14ac:dyDescent="0.25">
      <c r="A16" s="12" t="s">
        <v>50</v>
      </c>
      <c r="B16" s="12" t="s">
        <v>19</v>
      </c>
      <c r="C16" s="12">
        <v>2017</v>
      </c>
      <c r="D16" s="12">
        <v>70236</v>
      </c>
      <c r="E16" s="12">
        <v>70.236000000000004</v>
      </c>
    </row>
    <row r="17" spans="1:5" x14ac:dyDescent="0.25">
      <c r="A17" s="12" t="s">
        <v>50</v>
      </c>
      <c r="B17" s="12" t="s">
        <v>19</v>
      </c>
      <c r="C17" s="12">
        <v>2018</v>
      </c>
      <c r="D17" s="12">
        <v>73639</v>
      </c>
      <c r="E17" s="12">
        <v>73.638999999999996</v>
      </c>
    </row>
    <row r="18" spans="1:5" x14ac:dyDescent="0.25">
      <c r="A18" s="12" t="s">
        <v>50</v>
      </c>
      <c r="B18" s="12" t="s">
        <v>19</v>
      </c>
      <c r="C18" s="12">
        <v>2019</v>
      </c>
      <c r="D18" s="12">
        <v>75147</v>
      </c>
      <c r="E18" s="12">
        <v>75.147000000000006</v>
      </c>
    </row>
    <row r="19" spans="1:5" x14ac:dyDescent="0.25">
      <c r="A19" s="12" t="s">
        <v>50</v>
      </c>
      <c r="B19" s="12" t="s">
        <v>19</v>
      </c>
      <c r="C19" s="12">
        <v>2020</v>
      </c>
      <c r="D19" s="12">
        <v>74018</v>
      </c>
      <c r="E19" s="12">
        <v>74.018000000000001</v>
      </c>
    </row>
    <row r="20" spans="1:5" x14ac:dyDescent="0.25">
      <c r="A20" s="12" t="s">
        <v>50</v>
      </c>
      <c r="B20" s="12" t="s">
        <v>19</v>
      </c>
      <c r="C20" s="12">
        <v>2021</v>
      </c>
      <c r="D20" s="12">
        <v>79960</v>
      </c>
      <c r="E20" s="12">
        <v>79.959999999999994</v>
      </c>
    </row>
    <row r="21" spans="1:5" x14ac:dyDescent="0.25">
      <c r="A21" s="12" t="s">
        <v>50</v>
      </c>
      <c r="B21" s="12" t="s">
        <v>19</v>
      </c>
      <c r="C21" s="12">
        <v>2022</v>
      </c>
      <c r="D21" s="12">
        <v>89998</v>
      </c>
      <c r="E21" s="12">
        <v>89.998000000000005</v>
      </c>
    </row>
    <row r="22" spans="1:5" x14ac:dyDescent="0.25">
      <c r="A22" s="12" t="s">
        <v>50</v>
      </c>
      <c r="B22" s="12" t="s">
        <v>19</v>
      </c>
      <c r="C22" s="12">
        <v>2023</v>
      </c>
      <c r="D22" s="12">
        <v>95933</v>
      </c>
      <c r="E22" s="12">
        <v>95.933000000000007</v>
      </c>
    </row>
    <row r="23" spans="1:5" x14ac:dyDescent="0.25">
      <c r="A23" s="12" t="s">
        <v>50</v>
      </c>
      <c r="B23" s="12" t="s">
        <v>19</v>
      </c>
      <c r="C23" s="12">
        <v>2024</v>
      </c>
      <c r="D23" s="12">
        <v>95926</v>
      </c>
      <c r="E23" s="12">
        <v>95.926000000000002</v>
      </c>
    </row>
    <row r="24" spans="1:5" x14ac:dyDescent="0.25">
      <c r="A24" s="12" t="s">
        <v>21</v>
      </c>
      <c r="B24" s="12" t="s">
        <v>20</v>
      </c>
      <c r="C24" s="12">
        <v>2015</v>
      </c>
      <c r="D24" s="12">
        <v>14599</v>
      </c>
      <c r="E24" s="12">
        <v>14.599</v>
      </c>
    </row>
    <row r="25" spans="1:5" x14ac:dyDescent="0.25">
      <c r="A25" s="12" t="s">
        <v>21</v>
      </c>
      <c r="B25" s="12" t="s">
        <v>20</v>
      </c>
      <c r="C25" s="12">
        <v>2016</v>
      </c>
      <c r="D25" s="12">
        <v>13882</v>
      </c>
      <c r="E25" s="12">
        <v>13.882</v>
      </c>
    </row>
    <row r="26" spans="1:5" x14ac:dyDescent="0.25">
      <c r="A26" s="12" t="s">
        <v>21</v>
      </c>
      <c r="B26" s="12" t="s">
        <v>20</v>
      </c>
      <c r="C26" s="12">
        <v>2017</v>
      </c>
      <c r="D26" s="12">
        <v>13537</v>
      </c>
      <c r="E26" s="12">
        <v>13.537000000000001</v>
      </c>
    </row>
    <row r="27" spans="1:5" x14ac:dyDescent="0.25">
      <c r="A27" s="12" t="s">
        <v>21</v>
      </c>
      <c r="B27" s="12" t="s">
        <v>20</v>
      </c>
      <c r="C27" s="12">
        <v>2018</v>
      </c>
      <c r="D27" s="12">
        <v>14619</v>
      </c>
      <c r="E27" s="12">
        <v>14.619</v>
      </c>
    </row>
    <row r="28" spans="1:5" x14ac:dyDescent="0.25">
      <c r="A28" s="12" t="s">
        <v>21</v>
      </c>
      <c r="B28" s="12" t="s">
        <v>20</v>
      </c>
      <c r="C28" s="12">
        <v>2019</v>
      </c>
      <c r="D28" s="12">
        <v>15150</v>
      </c>
      <c r="E28" s="12">
        <v>15.15</v>
      </c>
    </row>
    <row r="29" spans="1:5" x14ac:dyDescent="0.25">
      <c r="A29" s="12" t="s">
        <v>21</v>
      </c>
      <c r="B29" s="12" t="s">
        <v>20</v>
      </c>
      <c r="C29" s="12">
        <v>2020</v>
      </c>
      <c r="D29" s="12">
        <v>14112</v>
      </c>
      <c r="E29" s="12">
        <v>14.112</v>
      </c>
    </row>
    <row r="30" spans="1:5" x14ac:dyDescent="0.25">
      <c r="A30" s="12" t="s">
        <v>21</v>
      </c>
      <c r="B30" s="12" t="s">
        <v>20</v>
      </c>
      <c r="C30" s="12">
        <v>2021</v>
      </c>
      <c r="D30" s="12">
        <v>16166</v>
      </c>
      <c r="E30" s="12">
        <v>16.166</v>
      </c>
    </row>
    <row r="31" spans="1:5" x14ac:dyDescent="0.25">
      <c r="A31" s="12" t="s">
        <v>21</v>
      </c>
      <c r="B31" s="12" t="s">
        <v>20</v>
      </c>
      <c r="C31" s="12">
        <v>2022</v>
      </c>
      <c r="D31" s="12">
        <v>18032</v>
      </c>
      <c r="E31" s="12">
        <v>18.032</v>
      </c>
    </row>
    <row r="32" spans="1:5" x14ac:dyDescent="0.25">
      <c r="A32" s="12" t="s">
        <v>21</v>
      </c>
      <c r="B32" s="12" t="s">
        <v>20</v>
      </c>
      <c r="C32" s="12">
        <v>2023</v>
      </c>
      <c r="D32" s="12">
        <v>23447</v>
      </c>
      <c r="E32" s="12">
        <v>23.446999999999999</v>
      </c>
    </row>
    <row r="33" spans="1:5" x14ac:dyDescent="0.25">
      <c r="A33" s="12" t="s">
        <v>21</v>
      </c>
      <c r="B33" s="12" t="s">
        <v>20</v>
      </c>
      <c r="C33" s="12">
        <v>2024</v>
      </c>
      <c r="D33" s="12">
        <v>23991</v>
      </c>
      <c r="E33" s="12">
        <v>23.991</v>
      </c>
    </row>
    <row r="34" spans="1:5" x14ac:dyDescent="0.25">
      <c r="A34" s="12" t="s">
        <v>51</v>
      </c>
      <c r="B34" s="12" t="s">
        <v>23</v>
      </c>
      <c r="C34" s="12">
        <v>2015</v>
      </c>
      <c r="D34" s="12">
        <v>4193</v>
      </c>
      <c r="E34" s="12">
        <v>4.1929999999999996</v>
      </c>
    </row>
    <row r="35" spans="1:5" x14ac:dyDescent="0.25">
      <c r="A35" s="12" t="s">
        <v>51</v>
      </c>
      <c r="B35" s="12" t="s">
        <v>23</v>
      </c>
      <c r="C35" s="12">
        <v>2016</v>
      </c>
      <c r="D35" s="12">
        <v>4301</v>
      </c>
      <c r="E35" s="12">
        <v>4.3010000000000002</v>
      </c>
    </row>
    <row r="36" spans="1:5" x14ac:dyDescent="0.25">
      <c r="A36" s="12" t="s">
        <v>51</v>
      </c>
      <c r="B36" s="12" t="s">
        <v>23</v>
      </c>
      <c r="C36" s="12">
        <v>2017</v>
      </c>
      <c r="D36" s="12">
        <v>4083</v>
      </c>
      <c r="E36" s="12">
        <v>4.0830000000000002</v>
      </c>
    </row>
    <row r="37" spans="1:5" x14ac:dyDescent="0.25">
      <c r="A37" s="12" t="s">
        <v>51</v>
      </c>
      <c r="B37" s="12" t="s">
        <v>23</v>
      </c>
      <c r="C37" s="12">
        <v>2018</v>
      </c>
      <c r="D37" s="12">
        <v>4281</v>
      </c>
      <c r="E37" s="12">
        <v>4.2809999999999997</v>
      </c>
    </row>
    <row r="38" spans="1:5" x14ac:dyDescent="0.25">
      <c r="A38" s="12" t="s">
        <v>51</v>
      </c>
      <c r="B38" s="12" t="s">
        <v>23</v>
      </c>
      <c r="C38" s="12">
        <v>2019</v>
      </c>
      <c r="D38" s="12">
        <v>4530</v>
      </c>
      <c r="E38" s="12">
        <v>4.53</v>
      </c>
    </row>
    <row r="39" spans="1:5" x14ac:dyDescent="0.25">
      <c r="A39" s="12" t="s">
        <v>51</v>
      </c>
      <c r="B39" s="12" t="s">
        <v>23</v>
      </c>
      <c r="C39" s="12">
        <v>2020</v>
      </c>
      <c r="D39" s="12">
        <v>4006</v>
      </c>
      <c r="E39" s="12">
        <v>4.0060000000000002</v>
      </c>
    </row>
    <row r="40" spans="1:5" x14ac:dyDescent="0.25">
      <c r="A40" s="12" t="s">
        <v>51</v>
      </c>
      <c r="B40" s="12" t="s">
        <v>23</v>
      </c>
      <c r="C40" s="12">
        <v>2021</v>
      </c>
      <c r="D40" s="12">
        <v>4454</v>
      </c>
      <c r="E40" s="12">
        <v>4.4539999999999997</v>
      </c>
    </row>
    <row r="41" spans="1:5" x14ac:dyDescent="0.25">
      <c r="A41" s="12" t="s">
        <v>51</v>
      </c>
      <c r="B41" s="12" t="s">
        <v>23</v>
      </c>
      <c r="C41" s="12">
        <v>2022</v>
      </c>
      <c r="D41" s="12">
        <v>4579</v>
      </c>
      <c r="E41" s="12">
        <v>4.5789999999999997</v>
      </c>
    </row>
    <row r="42" spans="1:5" x14ac:dyDescent="0.25">
      <c r="A42" s="12" t="s">
        <v>51</v>
      </c>
      <c r="B42" s="12" t="s">
        <v>23</v>
      </c>
      <c r="C42" s="12">
        <v>2023</v>
      </c>
      <c r="D42" s="12">
        <v>4937</v>
      </c>
      <c r="E42" s="12">
        <v>4.9370000000000003</v>
      </c>
    </row>
    <row r="43" spans="1:5" x14ac:dyDescent="0.25">
      <c r="A43" s="12" t="s">
        <v>51</v>
      </c>
      <c r="B43" s="12" t="s">
        <v>23</v>
      </c>
      <c r="C43" s="12">
        <v>2024</v>
      </c>
      <c r="D43" s="12">
        <v>4318</v>
      </c>
      <c r="E43" s="12">
        <v>4.3179999999999996</v>
      </c>
    </row>
    <row r="44" spans="1:5" x14ac:dyDescent="0.25">
      <c r="A44" s="12" t="s">
        <v>52</v>
      </c>
      <c r="B44" s="12" t="s">
        <v>24</v>
      </c>
      <c r="C44" s="12">
        <v>2014</v>
      </c>
      <c r="D44" s="12">
        <v>1830</v>
      </c>
      <c r="E44" s="12">
        <v>1.83</v>
      </c>
    </row>
    <row r="45" spans="1:5" x14ac:dyDescent="0.25">
      <c r="A45" s="12" t="s">
        <v>52</v>
      </c>
      <c r="B45" s="12" t="s">
        <v>24</v>
      </c>
      <c r="C45" s="12">
        <v>2015</v>
      </c>
      <c r="D45" s="12">
        <v>1665</v>
      </c>
      <c r="E45" s="12">
        <v>1.665</v>
      </c>
    </row>
    <row r="46" spans="1:5" x14ac:dyDescent="0.25">
      <c r="A46" s="12" t="s">
        <v>52</v>
      </c>
      <c r="B46" s="12" t="s">
        <v>24</v>
      </c>
      <c r="C46" s="12">
        <v>2016</v>
      </c>
      <c r="D46" s="12">
        <v>1620</v>
      </c>
      <c r="E46" s="12">
        <v>1.62</v>
      </c>
    </row>
    <row r="47" spans="1:5" x14ac:dyDescent="0.25">
      <c r="A47" s="12" t="s">
        <v>52</v>
      </c>
      <c r="B47" s="12" t="s">
        <v>24</v>
      </c>
      <c r="C47" s="12">
        <v>2017</v>
      </c>
      <c r="D47" s="12">
        <v>1513</v>
      </c>
      <c r="E47" s="12">
        <v>1.5129999999999999</v>
      </c>
    </row>
    <row r="48" spans="1:5" x14ac:dyDescent="0.25">
      <c r="A48" s="12" t="s">
        <v>52</v>
      </c>
      <c r="B48" s="12" t="s">
        <v>24</v>
      </c>
      <c r="C48" s="12">
        <v>2018</v>
      </c>
      <c r="D48" s="12">
        <v>1522</v>
      </c>
      <c r="E48" s="12">
        <v>1.522</v>
      </c>
    </row>
    <row r="49" spans="1:5" x14ac:dyDescent="0.25">
      <c r="A49" s="12" t="s">
        <v>52</v>
      </c>
      <c r="B49" s="12" t="s">
        <v>24</v>
      </c>
      <c r="C49" s="12">
        <v>2019</v>
      </c>
      <c r="D49" s="12">
        <v>1605</v>
      </c>
      <c r="E49" s="12">
        <v>1.605</v>
      </c>
    </row>
    <row r="50" spans="1:5" x14ac:dyDescent="0.25">
      <c r="A50" s="12" t="s">
        <v>52</v>
      </c>
      <c r="B50" s="12" t="s">
        <v>24</v>
      </c>
      <c r="C50" s="12">
        <v>2020</v>
      </c>
      <c r="D50" s="12">
        <v>1384</v>
      </c>
      <c r="E50" s="12">
        <v>1.3839999999999999</v>
      </c>
    </row>
    <row r="51" spans="1:5" x14ac:dyDescent="0.25">
      <c r="A51" s="12" t="s">
        <v>52</v>
      </c>
      <c r="B51" s="12" t="s">
        <v>24</v>
      </c>
      <c r="C51" s="12">
        <v>2021</v>
      </c>
      <c r="D51" s="12">
        <v>1207</v>
      </c>
      <c r="E51" s="12">
        <v>1.2070000000000001</v>
      </c>
    </row>
    <row r="52" spans="1:5" x14ac:dyDescent="0.25">
      <c r="A52" s="12" t="s">
        <v>52</v>
      </c>
      <c r="B52" s="12" t="s">
        <v>24</v>
      </c>
      <c r="C52" s="12">
        <v>2022</v>
      </c>
      <c r="D52" s="12">
        <v>1399</v>
      </c>
      <c r="E52" s="12">
        <v>1.399</v>
      </c>
    </row>
    <row r="53" spans="1:5" x14ac:dyDescent="0.25">
      <c r="A53" s="12" t="s">
        <v>52</v>
      </c>
      <c r="B53" s="12" t="s">
        <v>24</v>
      </c>
      <c r="C53" s="12">
        <v>2023</v>
      </c>
      <c r="D53" s="12">
        <v>1458</v>
      </c>
      <c r="E53" s="12">
        <v>1.458</v>
      </c>
    </row>
    <row r="54" spans="1:5" x14ac:dyDescent="0.25">
      <c r="A54" s="12" t="s">
        <v>52</v>
      </c>
      <c r="B54" s="12" t="s">
        <v>24</v>
      </c>
      <c r="C54" s="12">
        <v>2024</v>
      </c>
      <c r="D54" s="12">
        <v>1417</v>
      </c>
      <c r="E54" s="12">
        <v>1.417</v>
      </c>
    </row>
    <row r="55" spans="1:5" x14ac:dyDescent="0.25">
      <c r="A55" s="12" t="s">
        <v>53</v>
      </c>
      <c r="B55" s="12" t="s">
        <v>25</v>
      </c>
      <c r="C55" s="12">
        <v>2014</v>
      </c>
      <c r="D55" s="12">
        <v>681</v>
      </c>
      <c r="E55" s="12">
        <v>0.68100000000000005</v>
      </c>
    </row>
    <row r="56" spans="1:5" x14ac:dyDescent="0.25">
      <c r="A56" s="12" t="s">
        <v>53</v>
      </c>
      <c r="B56" s="12" t="s">
        <v>25</v>
      </c>
      <c r="C56" s="12">
        <v>2015</v>
      </c>
      <c r="D56" s="12">
        <v>690</v>
      </c>
      <c r="E56" s="12">
        <v>0.69</v>
      </c>
    </row>
    <row r="57" spans="1:5" x14ac:dyDescent="0.25">
      <c r="A57" s="12" t="s">
        <v>53</v>
      </c>
      <c r="B57" s="12" t="s">
        <v>25</v>
      </c>
      <c r="C57" s="12">
        <v>2016</v>
      </c>
      <c r="D57" s="12">
        <v>683</v>
      </c>
      <c r="E57" s="12">
        <v>0.68300000000000005</v>
      </c>
    </row>
    <row r="58" spans="1:5" x14ac:dyDescent="0.25">
      <c r="A58" s="12" t="s">
        <v>53</v>
      </c>
      <c r="B58" s="12" t="s">
        <v>25</v>
      </c>
      <c r="C58" s="12">
        <v>2017</v>
      </c>
      <c r="D58" s="12">
        <v>741</v>
      </c>
      <c r="E58" s="12">
        <v>0.74099999999999999</v>
      </c>
    </row>
    <row r="59" spans="1:5" x14ac:dyDescent="0.25">
      <c r="A59" s="12" t="s">
        <v>53</v>
      </c>
      <c r="B59" s="12" t="s">
        <v>25</v>
      </c>
      <c r="C59" s="12">
        <v>2018</v>
      </c>
      <c r="D59" s="12">
        <v>755</v>
      </c>
      <c r="E59" s="12">
        <v>0.755</v>
      </c>
    </row>
    <row r="60" spans="1:5" x14ac:dyDescent="0.25">
      <c r="A60" s="12" t="s">
        <v>53</v>
      </c>
      <c r="B60" s="12" t="s">
        <v>25</v>
      </c>
      <c r="C60" s="12">
        <v>2019</v>
      </c>
      <c r="D60" s="12">
        <v>733</v>
      </c>
      <c r="E60" s="12">
        <v>0.73299999999999998</v>
      </c>
    </row>
    <row r="61" spans="1:5" x14ac:dyDescent="0.25">
      <c r="A61" s="12" t="s">
        <v>53</v>
      </c>
      <c r="B61" s="12" t="s">
        <v>25</v>
      </c>
      <c r="C61" s="12">
        <v>2020</v>
      </c>
      <c r="D61" s="12">
        <v>527</v>
      </c>
      <c r="E61" s="12">
        <v>0.52700000000000002</v>
      </c>
    </row>
    <row r="62" spans="1:5" x14ac:dyDescent="0.25">
      <c r="A62" s="12" t="s">
        <v>53</v>
      </c>
      <c r="B62" s="12" t="s">
        <v>25</v>
      </c>
      <c r="C62" s="12">
        <v>2021</v>
      </c>
      <c r="D62" s="12">
        <v>533</v>
      </c>
      <c r="E62" s="12">
        <v>0.53300000000000003</v>
      </c>
    </row>
    <row r="63" spans="1:5" x14ac:dyDescent="0.25">
      <c r="A63" s="12" t="s">
        <v>53</v>
      </c>
      <c r="B63" s="12" t="s">
        <v>25</v>
      </c>
      <c r="C63" s="12">
        <v>2022</v>
      </c>
      <c r="D63" s="12">
        <v>579</v>
      </c>
      <c r="E63" s="12">
        <v>0.57899999999999996</v>
      </c>
    </row>
    <row r="64" spans="1:5" x14ac:dyDescent="0.25">
      <c r="A64" s="12" t="s">
        <v>53</v>
      </c>
      <c r="B64" s="12" t="s">
        <v>25</v>
      </c>
      <c r="C64" s="12">
        <v>2023</v>
      </c>
      <c r="D64" s="12">
        <v>561</v>
      </c>
      <c r="E64" s="12">
        <v>0.56100000000000005</v>
      </c>
    </row>
    <row r="65" spans="1:5" x14ac:dyDescent="0.25">
      <c r="A65" s="12" t="s">
        <v>53</v>
      </c>
      <c r="B65" s="12" t="s">
        <v>25</v>
      </c>
      <c r="C65" s="12">
        <v>2024</v>
      </c>
      <c r="D65" s="12">
        <v>535</v>
      </c>
      <c r="E65" s="12">
        <v>0.53500000000000003</v>
      </c>
    </row>
    <row r="66" spans="1:5" x14ac:dyDescent="0.25">
      <c r="A66" s="12" t="s">
        <v>54</v>
      </c>
      <c r="B66" s="12" t="s">
        <v>26</v>
      </c>
      <c r="C66" s="12">
        <v>2015</v>
      </c>
      <c r="D66" s="12">
        <v>6534</v>
      </c>
      <c r="E66" s="12">
        <v>6.5339999999999998</v>
      </c>
    </row>
    <row r="67" spans="1:5" x14ac:dyDescent="0.25">
      <c r="A67" s="12" t="s">
        <v>54</v>
      </c>
      <c r="B67" s="12" t="s">
        <v>26</v>
      </c>
      <c r="C67" s="12">
        <v>2016</v>
      </c>
      <c r="D67" s="12">
        <v>6453</v>
      </c>
      <c r="E67" s="12">
        <v>6.4530000000000003</v>
      </c>
    </row>
    <row r="68" spans="1:5" x14ac:dyDescent="0.25">
      <c r="A68" s="12" t="s">
        <v>54</v>
      </c>
      <c r="B68" s="12" t="s">
        <v>26</v>
      </c>
      <c r="C68" s="12">
        <v>2017</v>
      </c>
      <c r="D68" s="12">
        <v>6924</v>
      </c>
      <c r="E68" s="12">
        <v>6.9240000000000004</v>
      </c>
    </row>
    <row r="69" spans="1:5" x14ac:dyDescent="0.25">
      <c r="A69" s="12" t="s">
        <v>54</v>
      </c>
      <c r="B69" s="12" t="s">
        <v>26</v>
      </c>
      <c r="C69" s="12">
        <v>2018</v>
      </c>
      <c r="D69" s="12">
        <v>7343</v>
      </c>
      <c r="E69" s="12">
        <v>7.343</v>
      </c>
    </row>
    <row r="70" spans="1:5" x14ac:dyDescent="0.25">
      <c r="A70" s="12" t="s">
        <v>54</v>
      </c>
      <c r="B70" s="12" t="s">
        <v>26</v>
      </c>
      <c r="C70" s="12">
        <v>2019</v>
      </c>
      <c r="D70" s="12">
        <v>7645</v>
      </c>
      <c r="E70" s="12">
        <v>7.6449999999999996</v>
      </c>
    </row>
    <row r="71" spans="1:5" x14ac:dyDescent="0.25">
      <c r="A71" s="12" t="s">
        <v>54</v>
      </c>
      <c r="B71" s="12" t="s">
        <v>26</v>
      </c>
      <c r="C71" s="12">
        <v>2020</v>
      </c>
      <c r="D71" s="12">
        <v>7476</v>
      </c>
      <c r="E71" s="12">
        <v>7.476</v>
      </c>
    </row>
    <row r="72" spans="1:5" x14ac:dyDescent="0.25">
      <c r="A72" s="12" t="s">
        <v>54</v>
      </c>
      <c r="B72" s="12" t="s">
        <v>26</v>
      </c>
      <c r="C72" s="12">
        <v>2021</v>
      </c>
      <c r="D72" s="12">
        <v>9292</v>
      </c>
      <c r="E72" s="12">
        <v>9.2919999999999998</v>
      </c>
    </row>
    <row r="73" spans="1:5" x14ac:dyDescent="0.25">
      <c r="A73" s="12" t="s">
        <v>54</v>
      </c>
      <c r="B73" s="12" t="s">
        <v>26</v>
      </c>
      <c r="C73" s="12">
        <v>2022</v>
      </c>
      <c r="D73" s="12">
        <v>11217</v>
      </c>
      <c r="E73" s="12">
        <v>11.217000000000001</v>
      </c>
    </row>
    <row r="74" spans="1:5" x14ac:dyDescent="0.25">
      <c r="A74" s="12" t="s">
        <v>54</v>
      </c>
      <c r="B74" s="12" t="s">
        <v>26</v>
      </c>
      <c r="C74" s="12">
        <v>2023</v>
      </c>
      <c r="D74" s="12">
        <v>9688</v>
      </c>
      <c r="E74" s="12">
        <v>9.6880000000000006</v>
      </c>
    </row>
    <row r="75" spans="1:5" x14ac:dyDescent="0.25">
      <c r="A75" s="12" t="s">
        <v>54</v>
      </c>
      <c r="B75" s="12" t="s">
        <v>26</v>
      </c>
      <c r="C75" s="12">
        <v>2024</v>
      </c>
      <c r="D75" s="12">
        <v>8863</v>
      </c>
      <c r="E75" s="12">
        <v>8.8629999999999995</v>
      </c>
    </row>
    <row r="76" spans="1:5" x14ac:dyDescent="0.25">
      <c r="A76" s="12" t="s">
        <v>55</v>
      </c>
      <c r="B76" s="12" t="s">
        <v>27</v>
      </c>
      <c r="C76" s="12">
        <v>2014</v>
      </c>
      <c r="D76" s="12">
        <v>10364</v>
      </c>
      <c r="E76" s="12">
        <v>10.364000000000001</v>
      </c>
    </row>
    <row r="77" spans="1:5" x14ac:dyDescent="0.25">
      <c r="A77" s="12" t="s">
        <v>55</v>
      </c>
      <c r="B77" s="12" t="s">
        <v>27</v>
      </c>
      <c r="C77" s="12">
        <v>2015</v>
      </c>
      <c r="D77" s="12">
        <v>10105</v>
      </c>
      <c r="E77" s="12">
        <v>10.105</v>
      </c>
    </row>
    <row r="78" spans="1:5" x14ac:dyDescent="0.25">
      <c r="A78" s="12" t="s">
        <v>55</v>
      </c>
      <c r="B78" s="12" t="s">
        <v>27</v>
      </c>
      <c r="C78" s="12">
        <v>2016</v>
      </c>
      <c r="D78" s="12">
        <v>9866</v>
      </c>
      <c r="E78" s="12">
        <v>9.8659999999999997</v>
      </c>
    </row>
    <row r="79" spans="1:5" x14ac:dyDescent="0.25">
      <c r="A79" s="12" t="s">
        <v>55</v>
      </c>
      <c r="B79" s="12" t="s">
        <v>27</v>
      </c>
      <c r="C79" s="12">
        <v>2017</v>
      </c>
      <c r="D79" s="12">
        <v>10240</v>
      </c>
      <c r="E79" s="12">
        <v>10.24</v>
      </c>
    </row>
    <row r="80" spans="1:5" x14ac:dyDescent="0.25">
      <c r="A80" s="12" t="s">
        <v>55</v>
      </c>
      <c r="B80" s="12" t="s">
        <v>27</v>
      </c>
      <c r="C80" s="12">
        <v>2018</v>
      </c>
      <c r="D80" s="12">
        <v>10773</v>
      </c>
      <c r="E80" s="12">
        <v>10.773</v>
      </c>
    </row>
    <row r="81" spans="1:5" x14ac:dyDescent="0.25">
      <c r="A81" s="12" t="s">
        <v>55</v>
      </c>
      <c r="B81" s="12" t="s">
        <v>27</v>
      </c>
      <c r="C81" s="12">
        <v>2019</v>
      </c>
      <c r="D81" s="12">
        <v>10837</v>
      </c>
      <c r="E81" s="12">
        <v>10.837</v>
      </c>
    </row>
    <row r="82" spans="1:5" x14ac:dyDescent="0.25">
      <c r="A82" s="12" t="s">
        <v>55</v>
      </c>
      <c r="B82" s="12" t="s">
        <v>27</v>
      </c>
      <c r="C82" s="12">
        <v>2020</v>
      </c>
      <c r="D82" s="12">
        <v>10786</v>
      </c>
      <c r="E82" s="12">
        <v>10.786</v>
      </c>
    </row>
    <row r="83" spans="1:5" x14ac:dyDescent="0.25">
      <c r="A83" s="12" t="s">
        <v>55</v>
      </c>
      <c r="B83" s="12" t="s">
        <v>27</v>
      </c>
      <c r="C83" s="12">
        <v>2021</v>
      </c>
      <c r="D83" s="12">
        <v>11767</v>
      </c>
      <c r="E83" s="12">
        <v>11.766999999999999</v>
      </c>
    </row>
    <row r="84" spans="1:5" x14ac:dyDescent="0.25">
      <c r="A84" s="12" t="s">
        <v>55</v>
      </c>
      <c r="B84" s="12" t="s">
        <v>27</v>
      </c>
      <c r="C84" s="12">
        <v>2022</v>
      </c>
      <c r="D84" s="12">
        <v>13689</v>
      </c>
      <c r="E84" s="12">
        <v>13.689</v>
      </c>
    </row>
    <row r="85" spans="1:5" x14ac:dyDescent="0.25">
      <c r="A85" s="12" t="s">
        <v>55</v>
      </c>
      <c r="B85" s="12" t="s">
        <v>27</v>
      </c>
      <c r="C85" s="12">
        <v>2023</v>
      </c>
      <c r="D85" s="12">
        <v>13335</v>
      </c>
      <c r="E85" s="12">
        <v>13.335000000000001</v>
      </c>
    </row>
    <row r="86" spans="1:5" x14ac:dyDescent="0.25">
      <c r="A86" s="12" t="s">
        <v>55</v>
      </c>
      <c r="B86" s="12" t="s">
        <v>27</v>
      </c>
      <c r="C86" s="12">
        <v>2024</v>
      </c>
      <c r="D86" s="12">
        <v>13620</v>
      </c>
      <c r="E86" s="12">
        <v>13.62</v>
      </c>
    </row>
    <row r="87" spans="1:5" x14ac:dyDescent="0.25">
      <c r="A87" s="12" t="s">
        <v>56</v>
      </c>
      <c r="B87" s="12" t="s">
        <v>28</v>
      </c>
      <c r="C87" s="12">
        <v>2015</v>
      </c>
      <c r="D87" s="12">
        <v>7910</v>
      </c>
      <c r="E87" s="12">
        <v>7.91</v>
      </c>
    </row>
    <row r="88" spans="1:5" x14ac:dyDescent="0.25">
      <c r="A88" s="12" t="s">
        <v>56</v>
      </c>
      <c r="B88" s="12" t="s">
        <v>28</v>
      </c>
      <c r="C88" s="12">
        <v>2016</v>
      </c>
      <c r="D88" s="12">
        <v>7821</v>
      </c>
      <c r="E88" s="12">
        <v>7.8209999999999997</v>
      </c>
    </row>
    <row r="89" spans="1:5" x14ac:dyDescent="0.25">
      <c r="A89" s="12" t="s">
        <v>56</v>
      </c>
      <c r="B89" s="12" t="s">
        <v>28</v>
      </c>
      <c r="C89" s="12">
        <v>2017</v>
      </c>
      <c r="D89" s="12">
        <v>8123</v>
      </c>
      <c r="E89" s="12">
        <v>8.1229999999999993</v>
      </c>
    </row>
    <row r="90" spans="1:5" x14ac:dyDescent="0.25">
      <c r="A90" s="12" t="s">
        <v>56</v>
      </c>
      <c r="B90" s="12" t="s">
        <v>28</v>
      </c>
      <c r="C90" s="12">
        <v>2018</v>
      </c>
      <c r="D90" s="12">
        <v>8232</v>
      </c>
      <c r="E90" s="12">
        <v>8.2319999999999993</v>
      </c>
    </row>
    <row r="91" spans="1:5" x14ac:dyDescent="0.25">
      <c r="A91" s="12" t="s">
        <v>56</v>
      </c>
      <c r="B91" s="12" t="s">
        <v>28</v>
      </c>
      <c r="C91" s="12">
        <v>2019</v>
      </c>
      <c r="D91" s="12">
        <v>7619</v>
      </c>
      <c r="E91" s="12">
        <v>7.6189999999999998</v>
      </c>
    </row>
    <row r="92" spans="1:5" x14ac:dyDescent="0.25">
      <c r="A92" s="12" t="s">
        <v>56</v>
      </c>
      <c r="B92" s="12" t="s">
        <v>28</v>
      </c>
      <c r="C92" s="12">
        <v>2020</v>
      </c>
      <c r="D92" s="12">
        <v>6205</v>
      </c>
      <c r="E92" s="12">
        <v>6.2050000000000001</v>
      </c>
    </row>
    <row r="93" spans="1:5" x14ac:dyDescent="0.25">
      <c r="A93" s="12" t="s">
        <v>56</v>
      </c>
      <c r="B93" s="12" t="s">
        <v>28</v>
      </c>
      <c r="C93" s="12">
        <v>2021</v>
      </c>
      <c r="D93" s="12">
        <v>6332</v>
      </c>
      <c r="E93" s="12">
        <v>6.3319999999999999</v>
      </c>
    </row>
    <row r="94" spans="1:5" x14ac:dyDescent="0.25">
      <c r="A94" s="12" t="s">
        <v>56</v>
      </c>
      <c r="B94" s="12" t="s">
        <v>28</v>
      </c>
      <c r="C94" s="12">
        <v>2022</v>
      </c>
      <c r="D94" s="12">
        <v>7105</v>
      </c>
      <c r="E94" s="12">
        <v>7.1050000000000004</v>
      </c>
    </row>
    <row r="95" spans="1:5" x14ac:dyDescent="0.25">
      <c r="A95" s="12" t="s">
        <v>56</v>
      </c>
      <c r="B95" s="12" t="s">
        <v>28</v>
      </c>
      <c r="C95" s="12">
        <v>2023</v>
      </c>
      <c r="D95" s="12">
        <v>7484</v>
      </c>
      <c r="E95" s="12">
        <v>7.484</v>
      </c>
    </row>
    <row r="96" spans="1:5" x14ac:dyDescent="0.25">
      <c r="A96" s="12" t="s">
        <v>56</v>
      </c>
      <c r="B96" s="12" t="s">
        <v>28</v>
      </c>
      <c r="C96" s="12">
        <v>2024</v>
      </c>
      <c r="D96" s="12">
        <v>6332</v>
      </c>
      <c r="E96" s="12">
        <v>6.3319999999999999</v>
      </c>
    </row>
    <row r="97" spans="1:5" x14ac:dyDescent="0.25">
      <c r="A97" s="12" t="s">
        <v>57</v>
      </c>
      <c r="B97" s="12" t="s">
        <v>30</v>
      </c>
      <c r="C97" s="12">
        <v>2014</v>
      </c>
      <c r="D97" s="12">
        <v>21431</v>
      </c>
      <c r="E97" s="12">
        <v>21.431000000000001</v>
      </c>
    </row>
    <row r="98" spans="1:5" x14ac:dyDescent="0.25">
      <c r="A98" s="12" t="s">
        <v>57</v>
      </c>
      <c r="B98" s="12" t="s">
        <v>30</v>
      </c>
      <c r="C98" s="12">
        <v>2015</v>
      </c>
      <c r="D98" s="12">
        <v>20453</v>
      </c>
      <c r="E98" s="12">
        <v>20.452999999999999</v>
      </c>
    </row>
    <row r="99" spans="1:5" x14ac:dyDescent="0.25">
      <c r="A99" s="12" t="s">
        <v>57</v>
      </c>
      <c r="B99" s="12" t="s">
        <v>30</v>
      </c>
      <c r="C99" s="12">
        <v>2016</v>
      </c>
      <c r="D99" s="12">
        <v>21703</v>
      </c>
      <c r="E99" s="12">
        <v>21.702999999999999</v>
      </c>
    </row>
    <row r="100" spans="1:5" x14ac:dyDescent="0.25">
      <c r="A100" s="12" t="s">
        <v>57</v>
      </c>
      <c r="B100" s="12" t="s">
        <v>30</v>
      </c>
      <c r="C100" s="12">
        <v>2017</v>
      </c>
      <c r="D100" s="12">
        <v>24082</v>
      </c>
      <c r="E100" s="12">
        <v>24.082000000000001</v>
      </c>
    </row>
    <row r="101" spans="1:5" x14ac:dyDescent="0.25">
      <c r="A101" s="12" t="s">
        <v>57</v>
      </c>
      <c r="B101" s="12" t="s">
        <v>30</v>
      </c>
      <c r="C101" s="12">
        <v>2018</v>
      </c>
      <c r="D101" s="12">
        <v>24968</v>
      </c>
      <c r="E101" s="12">
        <v>24.968</v>
      </c>
    </row>
    <row r="102" spans="1:5" x14ac:dyDescent="0.25">
      <c r="A102" s="12" t="s">
        <v>57</v>
      </c>
      <c r="B102" s="12" t="s">
        <v>30</v>
      </c>
      <c r="C102" s="12">
        <v>2019</v>
      </c>
      <c r="D102" s="12">
        <v>26018</v>
      </c>
      <c r="E102" s="12">
        <v>26.018000000000001</v>
      </c>
    </row>
    <row r="103" spans="1:5" x14ac:dyDescent="0.25">
      <c r="A103" s="12" t="s">
        <v>57</v>
      </c>
      <c r="B103" s="12" t="s">
        <v>30</v>
      </c>
      <c r="C103" s="12">
        <v>2020</v>
      </c>
      <c r="D103" s="12">
        <v>24703</v>
      </c>
      <c r="E103" s="12">
        <v>24.702999999999999</v>
      </c>
    </row>
    <row r="104" spans="1:5" x14ac:dyDescent="0.25">
      <c r="A104" s="12" t="s">
        <v>57</v>
      </c>
      <c r="B104" s="12" t="s">
        <v>30</v>
      </c>
      <c r="C104" s="12">
        <v>2021</v>
      </c>
      <c r="D104" s="12">
        <v>30059</v>
      </c>
      <c r="E104" s="12">
        <v>30.059000000000001</v>
      </c>
    </row>
    <row r="105" spans="1:5" x14ac:dyDescent="0.25">
      <c r="A105" s="12" t="s">
        <v>57</v>
      </c>
      <c r="B105" s="12" t="s">
        <v>30</v>
      </c>
      <c r="C105" s="12">
        <v>2022</v>
      </c>
      <c r="D105" s="12">
        <v>31664</v>
      </c>
      <c r="E105" s="12">
        <v>31.664000000000001</v>
      </c>
    </row>
    <row r="106" spans="1:5" x14ac:dyDescent="0.25">
      <c r="A106" s="12" t="s">
        <v>57</v>
      </c>
      <c r="B106" s="12" t="s">
        <v>30</v>
      </c>
      <c r="C106" s="12">
        <v>2023</v>
      </c>
      <c r="D106" s="12">
        <v>30411</v>
      </c>
      <c r="E106" s="12">
        <v>30.411000000000001</v>
      </c>
    </row>
    <row r="107" spans="1:5" x14ac:dyDescent="0.25">
      <c r="A107" s="12" t="s">
        <v>57</v>
      </c>
      <c r="B107" s="12" t="s">
        <v>30</v>
      </c>
      <c r="C107" s="12">
        <v>2024</v>
      </c>
      <c r="D107" s="12">
        <v>29267</v>
      </c>
      <c r="E107" s="12">
        <v>29.266999999999999</v>
      </c>
    </row>
    <row r="108" spans="1:5" x14ac:dyDescent="0.25">
      <c r="A108" s="12" t="s">
        <v>58</v>
      </c>
      <c r="B108" s="12" t="s">
        <v>31</v>
      </c>
      <c r="C108" s="12">
        <v>2014</v>
      </c>
      <c r="D108" s="12">
        <v>10914</v>
      </c>
      <c r="E108" s="12">
        <v>10.914</v>
      </c>
    </row>
    <row r="109" spans="1:5" x14ac:dyDescent="0.25">
      <c r="A109" s="12" t="s">
        <v>58</v>
      </c>
      <c r="B109" s="12" t="s">
        <v>31</v>
      </c>
      <c r="C109" s="12">
        <v>2015</v>
      </c>
      <c r="D109" s="12">
        <v>10799</v>
      </c>
      <c r="E109" s="12">
        <v>10.798999999999999</v>
      </c>
    </row>
    <row r="110" spans="1:5" x14ac:dyDescent="0.25">
      <c r="A110" s="12" t="s">
        <v>58</v>
      </c>
      <c r="B110" s="12" t="s">
        <v>31</v>
      </c>
      <c r="C110" s="12">
        <v>2016</v>
      </c>
      <c r="D110" s="12">
        <v>12890</v>
      </c>
      <c r="E110" s="12">
        <v>12.89</v>
      </c>
    </row>
    <row r="111" spans="1:5" x14ac:dyDescent="0.25">
      <c r="A111" s="12" t="s">
        <v>58</v>
      </c>
      <c r="B111" s="12" t="s">
        <v>31</v>
      </c>
      <c r="C111" s="12">
        <v>2017</v>
      </c>
      <c r="D111" s="12">
        <v>11870</v>
      </c>
      <c r="E111" s="12">
        <v>11.87</v>
      </c>
    </row>
    <row r="112" spans="1:5" x14ac:dyDescent="0.25">
      <c r="A112" s="12" t="s">
        <v>58</v>
      </c>
      <c r="B112" s="12" t="s">
        <v>31</v>
      </c>
      <c r="C112" s="12">
        <v>2018</v>
      </c>
      <c r="D112" s="12">
        <v>13560</v>
      </c>
      <c r="E112" s="12">
        <v>13.56</v>
      </c>
    </row>
    <row r="113" spans="1:5" x14ac:dyDescent="0.25">
      <c r="A113" s="12" t="s">
        <v>58</v>
      </c>
      <c r="B113" s="12" t="s">
        <v>31</v>
      </c>
      <c r="C113" s="12">
        <v>2019</v>
      </c>
      <c r="D113" s="12">
        <v>13835</v>
      </c>
      <c r="E113" s="12">
        <v>13.835000000000001</v>
      </c>
    </row>
    <row r="114" spans="1:5" x14ac:dyDescent="0.25">
      <c r="A114" s="12" t="s">
        <v>58</v>
      </c>
      <c r="B114" s="12" t="s">
        <v>31</v>
      </c>
      <c r="C114" s="12">
        <v>2020</v>
      </c>
      <c r="D114" s="12">
        <v>15086</v>
      </c>
      <c r="E114" s="12">
        <v>15.086</v>
      </c>
    </row>
    <row r="115" spans="1:5" x14ac:dyDescent="0.25">
      <c r="A115" s="12" t="s">
        <v>58</v>
      </c>
      <c r="B115" s="12" t="s">
        <v>31</v>
      </c>
      <c r="C115" s="12">
        <v>2021</v>
      </c>
      <c r="D115" s="12">
        <v>15187</v>
      </c>
      <c r="E115" s="12">
        <v>15.186999999999999</v>
      </c>
    </row>
    <row r="116" spans="1:5" x14ac:dyDescent="0.25">
      <c r="A116" s="12" t="s">
        <v>58</v>
      </c>
      <c r="B116" s="12" t="s">
        <v>31</v>
      </c>
      <c r="C116" s="12">
        <v>2022</v>
      </c>
      <c r="D116" s="12">
        <v>15577</v>
      </c>
      <c r="E116" s="12">
        <v>15.577</v>
      </c>
    </row>
    <row r="117" spans="1:5" x14ac:dyDescent="0.25">
      <c r="A117" s="12" t="s">
        <v>58</v>
      </c>
      <c r="B117" s="12" t="s">
        <v>31</v>
      </c>
      <c r="C117" s="12">
        <v>2023</v>
      </c>
      <c r="D117" s="12">
        <v>15553</v>
      </c>
      <c r="E117" s="12">
        <v>15.553000000000001</v>
      </c>
    </row>
    <row r="118" spans="1:5" x14ac:dyDescent="0.25">
      <c r="A118" s="12" t="s">
        <v>58</v>
      </c>
      <c r="B118" s="12" t="s">
        <v>31</v>
      </c>
      <c r="C118" s="12">
        <v>2024</v>
      </c>
      <c r="D118" s="12">
        <v>14320</v>
      </c>
      <c r="E118" s="12">
        <v>14.32</v>
      </c>
    </row>
    <row r="119" spans="1:5" x14ac:dyDescent="0.25">
      <c r="A119" s="12" t="s">
        <v>59</v>
      </c>
      <c r="B119" s="12" t="s">
        <v>32</v>
      </c>
      <c r="C119" s="12">
        <v>2015</v>
      </c>
      <c r="D119" s="12">
        <v>19226</v>
      </c>
      <c r="E119" s="12">
        <v>19.225999999999999</v>
      </c>
    </row>
    <row r="120" spans="1:5" x14ac:dyDescent="0.25">
      <c r="A120" s="12" t="s">
        <v>59</v>
      </c>
      <c r="B120" s="12" t="s">
        <v>32</v>
      </c>
      <c r="C120" s="12">
        <v>2016</v>
      </c>
      <c r="D120" s="12">
        <v>19541</v>
      </c>
      <c r="E120" s="12">
        <v>19.541</v>
      </c>
    </row>
    <row r="121" spans="1:5" x14ac:dyDescent="0.25">
      <c r="A121" s="12" t="s">
        <v>59</v>
      </c>
      <c r="B121" s="12" t="s">
        <v>32</v>
      </c>
      <c r="C121" s="12">
        <v>2017</v>
      </c>
      <c r="D121" s="12">
        <v>20244</v>
      </c>
      <c r="E121" s="12">
        <v>20.244</v>
      </c>
    </row>
    <row r="122" spans="1:5" x14ac:dyDescent="0.25">
      <c r="A122" s="12" t="s">
        <v>59</v>
      </c>
      <c r="B122" s="12" t="s">
        <v>32</v>
      </c>
      <c r="C122" s="12">
        <v>2018</v>
      </c>
      <c r="D122" s="12">
        <v>20466</v>
      </c>
      <c r="E122" s="12">
        <v>20.466000000000001</v>
      </c>
    </row>
    <row r="123" spans="1:5" x14ac:dyDescent="0.25">
      <c r="A123" s="12" t="s">
        <v>59</v>
      </c>
      <c r="B123" s="12" t="s">
        <v>32</v>
      </c>
      <c r="C123" s="12">
        <v>2019</v>
      </c>
      <c r="D123" s="12">
        <v>19921</v>
      </c>
      <c r="E123" s="12">
        <v>19.920999999999999</v>
      </c>
    </row>
    <row r="124" spans="1:5" x14ac:dyDescent="0.25">
      <c r="A124" s="12" t="s">
        <v>59</v>
      </c>
      <c r="B124" s="12" t="s">
        <v>32</v>
      </c>
      <c r="C124" s="12">
        <v>2020</v>
      </c>
      <c r="D124" s="12">
        <v>19018</v>
      </c>
      <c r="E124" s="12">
        <v>19.018000000000001</v>
      </c>
    </row>
    <row r="125" spans="1:5" x14ac:dyDescent="0.25">
      <c r="A125" s="12" t="s">
        <v>59</v>
      </c>
      <c r="B125" s="12" t="s">
        <v>32</v>
      </c>
      <c r="C125" s="12">
        <v>2021</v>
      </c>
      <c r="D125" s="12">
        <v>20937</v>
      </c>
      <c r="E125" s="12">
        <v>20.937000000000001</v>
      </c>
    </row>
    <row r="126" spans="1:5" x14ac:dyDescent="0.25">
      <c r="A126" s="12" t="s">
        <v>59</v>
      </c>
      <c r="B126" s="12" t="s">
        <v>32</v>
      </c>
      <c r="C126" s="12">
        <v>2022</v>
      </c>
      <c r="D126" s="12">
        <v>23217</v>
      </c>
      <c r="E126" s="12">
        <v>23.216999999999999</v>
      </c>
    </row>
    <row r="127" spans="1:5" x14ac:dyDescent="0.25">
      <c r="A127" s="12" t="s">
        <v>59</v>
      </c>
      <c r="B127" s="12" t="s">
        <v>32</v>
      </c>
      <c r="C127" s="12">
        <v>2023</v>
      </c>
      <c r="D127" s="12">
        <v>22770</v>
      </c>
      <c r="E127" s="12">
        <v>22.77</v>
      </c>
    </row>
    <row r="128" spans="1:5" x14ac:dyDescent="0.25">
      <c r="A128" s="12" t="s">
        <v>59</v>
      </c>
      <c r="B128" s="12" t="s">
        <v>32</v>
      </c>
      <c r="C128" s="12">
        <v>2024</v>
      </c>
      <c r="D128" s="12">
        <v>21665</v>
      </c>
      <c r="E128" s="12">
        <v>21.664999999999999</v>
      </c>
    </row>
    <row r="129" spans="1:5" x14ac:dyDescent="0.25">
      <c r="A129" s="12" t="s">
        <v>60</v>
      </c>
      <c r="B129" s="12" t="s">
        <v>33</v>
      </c>
      <c r="C129" s="12">
        <v>2014</v>
      </c>
      <c r="D129" s="12">
        <v>11468</v>
      </c>
      <c r="E129" s="12">
        <v>11.468</v>
      </c>
    </row>
    <row r="130" spans="1:5" x14ac:dyDescent="0.25">
      <c r="A130" s="12" t="s">
        <v>60</v>
      </c>
      <c r="B130" s="12" t="s">
        <v>33</v>
      </c>
      <c r="C130" s="12">
        <v>2015</v>
      </c>
      <c r="D130" s="12">
        <v>12436</v>
      </c>
      <c r="E130" s="12">
        <v>12.436</v>
      </c>
    </row>
    <row r="131" spans="1:5" x14ac:dyDescent="0.25">
      <c r="A131" s="12" t="s">
        <v>60</v>
      </c>
      <c r="B131" s="12" t="s">
        <v>33</v>
      </c>
      <c r="C131" s="12">
        <v>2016</v>
      </c>
      <c r="D131" s="12">
        <v>13175</v>
      </c>
      <c r="E131" s="12">
        <v>13.175000000000001</v>
      </c>
    </row>
    <row r="132" spans="1:5" x14ac:dyDescent="0.25">
      <c r="A132" s="12" t="s">
        <v>60</v>
      </c>
      <c r="B132" s="12" t="s">
        <v>33</v>
      </c>
      <c r="C132" s="12">
        <v>2017</v>
      </c>
      <c r="D132" s="12">
        <v>13893</v>
      </c>
      <c r="E132" s="12">
        <v>13.893000000000001</v>
      </c>
    </row>
    <row r="133" spans="1:5" x14ac:dyDescent="0.25">
      <c r="A133" s="12" t="s">
        <v>60</v>
      </c>
      <c r="B133" s="12" t="s">
        <v>33</v>
      </c>
      <c r="C133" s="12">
        <v>2018</v>
      </c>
      <c r="D133" s="12">
        <v>14217</v>
      </c>
      <c r="E133" s="12">
        <v>14.217000000000001</v>
      </c>
    </row>
    <row r="134" spans="1:5" x14ac:dyDescent="0.25">
      <c r="A134" s="12" t="s">
        <v>60</v>
      </c>
      <c r="B134" s="12" t="s">
        <v>33</v>
      </c>
      <c r="C134" s="12">
        <v>2019</v>
      </c>
      <c r="D134" s="12">
        <v>14518</v>
      </c>
      <c r="E134" s="12">
        <v>14.518000000000001</v>
      </c>
    </row>
    <row r="135" spans="1:5" x14ac:dyDescent="0.25">
      <c r="A135" s="12" t="s">
        <v>60</v>
      </c>
      <c r="B135" s="12" t="s">
        <v>33</v>
      </c>
      <c r="C135" s="12">
        <v>2020</v>
      </c>
      <c r="D135" s="12">
        <v>12956</v>
      </c>
      <c r="E135" s="12">
        <v>12.956</v>
      </c>
    </row>
    <row r="136" spans="1:5" x14ac:dyDescent="0.25">
      <c r="A136" s="12" t="s">
        <v>60</v>
      </c>
      <c r="B136" s="12" t="s">
        <v>33</v>
      </c>
      <c r="C136" s="12">
        <v>2021</v>
      </c>
      <c r="D136" s="12">
        <v>14847</v>
      </c>
      <c r="E136" s="12">
        <v>14.847</v>
      </c>
    </row>
    <row r="137" spans="1:5" x14ac:dyDescent="0.25">
      <c r="A137" s="12" t="s">
        <v>60</v>
      </c>
      <c r="B137" s="12" t="s">
        <v>33</v>
      </c>
      <c r="C137" s="12">
        <v>2022</v>
      </c>
      <c r="D137" s="12">
        <v>17512</v>
      </c>
      <c r="E137" s="12">
        <v>17.512</v>
      </c>
    </row>
    <row r="138" spans="1:5" x14ac:dyDescent="0.25">
      <c r="A138" s="12" t="s">
        <v>60</v>
      </c>
      <c r="B138" s="12" t="s">
        <v>33</v>
      </c>
      <c r="C138" s="12">
        <v>2023</v>
      </c>
      <c r="D138" s="12">
        <v>17996</v>
      </c>
      <c r="E138" s="12">
        <v>17.995999999999999</v>
      </c>
    </row>
    <row r="139" spans="1:5" x14ac:dyDescent="0.25">
      <c r="A139" s="12" t="s">
        <v>60</v>
      </c>
      <c r="B139" s="12" t="s">
        <v>33</v>
      </c>
      <c r="C139" s="12">
        <v>2024</v>
      </c>
      <c r="D139" s="12">
        <v>16276</v>
      </c>
      <c r="E139" s="12">
        <v>16.276</v>
      </c>
    </row>
    <row r="140" spans="1:5" x14ac:dyDescent="0.25">
      <c r="A140" s="12" t="s">
        <v>61</v>
      </c>
      <c r="B140" s="12" t="s">
        <v>34</v>
      </c>
      <c r="C140" s="12">
        <v>2014</v>
      </c>
      <c r="D140" s="12">
        <v>6583</v>
      </c>
      <c r="E140" s="12">
        <v>6.5830000000000002</v>
      </c>
    </row>
    <row r="141" spans="1:5" x14ac:dyDescent="0.25">
      <c r="A141" s="12" t="s">
        <v>61</v>
      </c>
      <c r="B141" s="12" t="s">
        <v>34</v>
      </c>
      <c r="C141" s="12">
        <v>2015</v>
      </c>
      <c r="D141" s="12">
        <v>5926</v>
      </c>
      <c r="E141" s="12">
        <v>5.9260000000000002</v>
      </c>
    </row>
    <row r="142" spans="1:5" x14ac:dyDescent="0.25">
      <c r="A142" s="12" t="s">
        <v>61</v>
      </c>
      <c r="B142" s="12" t="s">
        <v>34</v>
      </c>
      <c r="C142" s="12">
        <v>2016</v>
      </c>
      <c r="D142" s="12">
        <v>5626</v>
      </c>
      <c r="E142" s="12">
        <v>5.6260000000000003</v>
      </c>
    </row>
    <row r="143" spans="1:5" x14ac:dyDescent="0.25">
      <c r="A143" s="12" t="s">
        <v>61</v>
      </c>
      <c r="B143" s="12" t="s">
        <v>34</v>
      </c>
      <c r="C143" s="12">
        <v>2017</v>
      </c>
      <c r="D143" s="12">
        <v>6258</v>
      </c>
      <c r="E143" s="12">
        <v>6.258</v>
      </c>
    </row>
    <row r="144" spans="1:5" x14ac:dyDescent="0.25">
      <c r="A144" s="12" t="s">
        <v>61</v>
      </c>
      <c r="B144" s="12" t="s">
        <v>34</v>
      </c>
      <c r="C144" s="12">
        <v>2018</v>
      </c>
      <c r="D144" s="12">
        <v>6678</v>
      </c>
      <c r="E144" s="12">
        <v>6.6779999999999999</v>
      </c>
    </row>
    <row r="145" spans="1:5" x14ac:dyDescent="0.25">
      <c r="A145" s="12" t="s">
        <v>61</v>
      </c>
      <c r="B145" s="12" t="s">
        <v>34</v>
      </c>
      <c r="C145" s="12">
        <v>2019</v>
      </c>
      <c r="D145" s="12">
        <v>6201</v>
      </c>
      <c r="E145" s="12">
        <v>6.2009999999999996</v>
      </c>
    </row>
    <row r="146" spans="1:5" x14ac:dyDescent="0.25">
      <c r="A146" s="12" t="s">
        <v>61</v>
      </c>
      <c r="B146" s="12" t="s">
        <v>34</v>
      </c>
      <c r="C146" s="12">
        <v>2020</v>
      </c>
      <c r="D146" s="12">
        <v>5171</v>
      </c>
      <c r="E146" s="12">
        <v>5.1710000000000003</v>
      </c>
    </row>
    <row r="147" spans="1:5" x14ac:dyDescent="0.25">
      <c r="A147" s="12" t="s">
        <v>61</v>
      </c>
      <c r="B147" s="12" t="s">
        <v>34</v>
      </c>
      <c r="C147" s="12">
        <v>2021</v>
      </c>
      <c r="D147" s="12">
        <v>6121</v>
      </c>
      <c r="E147" s="12">
        <v>6.1210000000000004</v>
      </c>
    </row>
    <row r="148" spans="1:5" x14ac:dyDescent="0.25">
      <c r="A148" s="12" t="s">
        <v>61</v>
      </c>
      <c r="B148" s="12" t="s">
        <v>34</v>
      </c>
      <c r="C148" s="12">
        <v>2022</v>
      </c>
      <c r="D148" s="12">
        <v>7290</v>
      </c>
      <c r="E148" s="12">
        <v>7.29</v>
      </c>
    </row>
    <row r="149" spans="1:5" x14ac:dyDescent="0.25">
      <c r="A149" s="12" t="s">
        <v>61</v>
      </c>
      <c r="B149" s="12" t="s">
        <v>34</v>
      </c>
      <c r="C149" s="12">
        <v>2023</v>
      </c>
      <c r="D149" s="12">
        <v>6990</v>
      </c>
      <c r="E149" s="12">
        <v>6.99</v>
      </c>
    </row>
    <row r="150" spans="1:5" x14ac:dyDescent="0.25">
      <c r="A150" s="12" t="s">
        <v>61</v>
      </c>
      <c r="B150" s="12" t="s">
        <v>34</v>
      </c>
      <c r="C150" s="12">
        <v>2024</v>
      </c>
      <c r="D150" s="12">
        <v>6962</v>
      </c>
      <c r="E150" s="12">
        <v>6.9619999999999997</v>
      </c>
    </row>
    <row r="151" spans="1:5" x14ac:dyDescent="0.25">
      <c r="A151" s="12" t="s">
        <v>62</v>
      </c>
      <c r="B151" s="12" t="s">
        <v>35</v>
      </c>
      <c r="C151" s="12">
        <v>2014</v>
      </c>
      <c r="D151" s="12">
        <v>25551</v>
      </c>
      <c r="E151" s="12">
        <v>25.550999999999998</v>
      </c>
    </row>
    <row r="152" spans="1:5" x14ac:dyDescent="0.25">
      <c r="A152" s="12" t="s">
        <v>62</v>
      </c>
      <c r="B152" s="12" t="s">
        <v>35</v>
      </c>
      <c r="C152" s="12">
        <v>2015</v>
      </c>
      <c r="D152" s="12">
        <v>26439</v>
      </c>
      <c r="E152" s="12">
        <v>26.439</v>
      </c>
    </row>
    <row r="153" spans="1:5" x14ac:dyDescent="0.25">
      <c r="A153" s="12" t="s">
        <v>62</v>
      </c>
      <c r="B153" s="12" t="s">
        <v>35</v>
      </c>
      <c r="C153" s="12">
        <v>2016</v>
      </c>
      <c r="D153" s="12">
        <v>26392</v>
      </c>
      <c r="E153" s="12">
        <v>26.391999999999999</v>
      </c>
    </row>
    <row r="154" spans="1:5" x14ac:dyDescent="0.25">
      <c r="A154" s="12" t="s">
        <v>62</v>
      </c>
      <c r="B154" s="12" t="s">
        <v>35</v>
      </c>
      <c r="C154" s="12">
        <v>2017</v>
      </c>
      <c r="D154" s="12">
        <v>27775</v>
      </c>
      <c r="E154" s="12">
        <v>27.774999999999999</v>
      </c>
    </row>
    <row r="155" spans="1:5" x14ac:dyDescent="0.25">
      <c r="A155" s="12" t="s">
        <v>62</v>
      </c>
      <c r="B155" s="12" t="s">
        <v>35</v>
      </c>
      <c r="C155" s="12">
        <v>2018</v>
      </c>
      <c r="D155" s="12">
        <v>28752</v>
      </c>
      <c r="E155" s="12">
        <v>28.751999999999999</v>
      </c>
    </row>
    <row r="156" spans="1:5" x14ac:dyDescent="0.25">
      <c r="A156" s="12" t="s">
        <v>62</v>
      </c>
      <c r="B156" s="12" t="s">
        <v>35</v>
      </c>
      <c r="C156" s="12">
        <v>2019</v>
      </c>
      <c r="D156" s="12">
        <v>29181</v>
      </c>
      <c r="E156" s="12">
        <v>29.181000000000001</v>
      </c>
    </row>
    <row r="157" spans="1:5" x14ac:dyDescent="0.25">
      <c r="A157" s="12" t="s">
        <v>62</v>
      </c>
      <c r="B157" s="12" t="s">
        <v>35</v>
      </c>
      <c r="C157" s="12">
        <v>2020</v>
      </c>
      <c r="D157" s="12">
        <v>26371</v>
      </c>
      <c r="E157" s="12">
        <v>26.370999999999999</v>
      </c>
    </row>
    <row r="158" spans="1:5" x14ac:dyDescent="0.25">
      <c r="A158" s="12" t="s">
        <v>62</v>
      </c>
      <c r="B158" s="12" t="s">
        <v>35</v>
      </c>
      <c r="C158" s="12">
        <v>2021</v>
      </c>
      <c r="D158" s="12">
        <v>29795</v>
      </c>
      <c r="E158" s="12">
        <v>29.795000000000002</v>
      </c>
    </row>
    <row r="159" spans="1:5" x14ac:dyDescent="0.25">
      <c r="A159" s="12" t="s">
        <v>62</v>
      </c>
      <c r="B159" s="12" t="s">
        <v>35</v>
      </c>
      <c r="C159" s="12">
        <v>2022</v>
      </c>
      <c r="D159" s="12">
        <v>33278</v>
      </c>
      <c r="E159" s="12">
        <v>33.277999999999999</v>
      </c>
    </row>
    <row r="160" spans="1:5" x14ac:dyDescent="0.25">
      <c r="A160" s="12" t="s">
        <v>62</v>
      </c>
      <c r="B160" s="12" t="s">
        <v>35</v>
      </c>
      <c r="C160" s="12">
        <v>2023</v>
      </c>
      <c r="D160" s="12">
        <v>35681</v>
      </c>
      <c r="E160" s="12">
        <v>35.680999999999997</v>
      </c>
    </row>
    <row r="161" spans="1:5" x14ac:dyDescent="0.25">
      <c r="A161" s="12" t="s">
        <v>62</v>
      </c>
      <c r="B161" s="12" t="s">
        <v>35</v>
      </c>
      <c r="C161" s="12">
        <v>2024</v>
      </c>
      <c r="D161" s="12">
        <v>32886</v>
      </c>
      <c r="E161" s="12">
        <v>32.886000000000003</v>
      </c>
    </row>
    <row r="162" spans="1:5" x14ac:dyDescent="0.25">
      <c r="A162" s="12" t="s">
        <v>63</v>
      </c>
      <c r="B162" s="12" t="s">
        <v>36</v>
      </c>
      <c r="C162" s="12">
        <v>2014</v>
      </c>
      <c r="D162" s="12">
        <v>12145</v>
      </c>
      <c r="E162" s="12">
        <v>12.145</v>
      </c>
    </row>
    <row r="163" spans="1:5" x14ac:dyDescent="0.25">
      <c r="A163" s="12" t="s">
        <v>63</v>
      </c>
      <c r="B163" s="12" t="s">
        <v>36</v>
      </c>
      <c r="C163" s="12">
        <v>2015</v>
      </c>
      <c r="D163" s="12">
        <v>12166</v>
      </c>
      <c r="E163" s="12">
        <v>12.166</v>
      </c>
    </row>
    <row r="164" spans="1:5" x14ac:dyDescent="0.25">
      <c r="A164" s="12" t="s">
        <v>63</v>
      </c>
      <c r="B164" s="12" t="s">
        <v>36</v>
      </c>
      <c r="C164" s="12">
        <v>2016</v>
      </c>
      <c r="D164" s="12">
        <v>12277</v>
      </c>
      <c r="E164" s="12">
        <v>12.276999999999999</v>
      </c>
    </row>
    <row r="165" spans="1:5" x14ac:dyDescent="0.25">
      <c r="A165" s="12" t="s">
        <v>63</v>
      </c>
      <c r="B165" s="12" t="s">
        <v>36</v>
      </c>
      <c r="C165" s="12">
        <v>2017</v>
      </c>
      <c r="D165" s="12">
        <v>12829</v>
      </c>
      <c r="E165" s="12">
        <v>12.829000000000001</v>
      </c>
    </row>
    <row r="166" spans="1:5" x14ac:dyDescent="0.25">
      <c r="A166" s="12" t="s">
        <v>63</v>
      </c>
      <c r="B166" s="12" t="s">
        <v>36</v>
      </c>
      <c r="C166" s="12">
        <v>2018</v>
      </c>
      <c r="D166" s="12">
        <v>14096</v>
      </c>
      <c r="E166" s="12">
        <v>14.096</v>
      </c>
    </row>
    <row r="167" spans="1:5" x14ac:dyDescent="0.25">
      <c r="A167" s="12" t="s">
        <v>63</v>
      </c>
      <c r="B167" s="12" t="s">
        <v>36</v>
      </c>
      <c r="C167" s="12">
        <v>2019</v>
      </c>
      <c r="D167" s="12">
        <v>15021</v>
      </c>
      <c r="E167" s="12">
        <v>15.021000000000001</v>
      </c>
    </row>
    <row r="168" spans="1:5" x14ac:dyDescent="0.25">
      <c r="A168" s="12" t="s">
        <v>63</v>
      </c>
      <c r="B168" s="12" t="s">
        <v>36</v>
      </c>
      <c r="C168" s="12">
        <v>2020</v>
      </c>
      <c r="D168" s="12">
        <v>14435</v>
      </c>
      <c r="E168" s="12">
        <v>14.435</v>
      </c>
    </row>
    <row r="169" spans="1:5" x14ac:dyDescent="0.25">
      <c r="A169" s="12" t="s">
        <v>63</v>
      </c>
      <c r="B169" s="12" t="s">
        <v>36</v>
      </c>
      <c r="C169" s="12">
        <v>2021</v>
      </c>
      <c r="D169" s="12">
        <v>14696</v>
      </c>
      <c r="E169" s="12">
        <v>14.696</v>
      </c>
    </row>
    <row r="170" spans="1:5" x14ac:dyDescent="0.25">
      <c r="A170" s="12" t="s">
        <v>63</v>
      </c>
      <c r="B170" s="12" t="s">
        <v>36</v>
      </c>
      <c r="C170" s="12">
        <v>2022</v>
      </c>
      <c r="D170" s="12">
        <v>15655</v>
      </c>
      <c r="E170" s="12">
        <v>15.654999999999999</v>
      </c>
    </row>
    <row r="171" spans="1:5" x14ac:dyDescent="0.25">
      <c r="A171" s="12" t="s">
        <v>63</v>
      </c>
      <c r="B171" s="12" t="s">
        <v>36</v>
      </c>
      <c r="C171" s="12">
        <v>2023</v>
      </c>
      <c r="D171" s="12">
        <v>15727</v>
      </c>
      <c r="E171" s="12">
        <v>15.727</v>
      </c>
    </row>
    <row r="172" spans="1:5" x14ac:dyDescent="0.25">
      <c r="A172" s="12" t="s">
        <v>63</v>
      </c>
      <c r="B172" s="12" t="s">
        <v>36</v>
      </c>
      <c r="C172" s="12">
        <v>2024</v>
      </c>
      <c r="D172" s="12">
        <v>15959</v>
      </c>
      <c r="E172" s="12">
        <v>15.959</v>
      </c>
    </row>
    <row r="173" spans="1:5" x14ac:dyDescent="0.25">
      <c r="A173" s="12" t="s">
        <v>64</v>
      </c>
      <c r="B173" s="12" t="s">
        <v>37</v>
      </c>
      <c r="C173" s="12">
        <v>2015</v>
      </c>
      <c r="D173" s="12">
        <v>10288</v>
      </c>
      <c r="E173" s="12">
        <v>10.288</v>
      </c>
    </row>
    <row r="174" spans="1:5" x14ac:dyDescent="0.25">
      <c r="A174" s="12" t="s">
        <v>64</v>
      </c>
      <c r="B174" s="12" t="s">
        <v>37</v>
      </c>
      <c r="C174" s="12">
        <v>2016</v>
      </c>
      <c r="D174" s="12">
        <v>10005</v>
      </c>
      <c r="E174" s="12">
        <v>10.005000000000001</v>
      </c>
    </row>
    <row r="175" spans="1:5" x14ac:dyDescent="0.25">
      <c r="A175" s="12" t="s">
        <v>64</v>
      </c>
      <c r="B175" s="12" t="s">
        <v>37</v>
      </c>
      <c r="C175" s="12">
        <v>2017</v>
      </c>
      <c r="D175" s="12">
        <v>10629</v>
      </c>
      <c r="E175" s="12">
        <v>10.629</v>
      </c>
    </row>
    <row r="176" spans="1:5" x14ac:dyDescent="0.25">
      <c r="A176" s="12" t="s">
        <v>64</v>
      </c>
      <c r="B176" s="12" t="s">
        <v>37</v>
      </c>
      <c r="C176" s="12">
        <v>2018</v>
      </c>
      <c r="D176" s="12">
        <v>10927</v>
      </c>
      <c r="E176" s="12">
        <v>10.927</v>
      </c>
    </row>
    <row r="177" spans="1:5" x14ac:dyDescent="0.25">
      <c r="A177" s="12" t="s">
        <v>64</v>
      </c>
      <c r="B177" s="12" t="s">
        <v>37</v>
      </c>
      <c r="C177" s="12">
        <v>2019</v>
      </c>
      <c r="D177" s="12">
        <v>11029</v>
      </c>
      <c r="E177" s="12">
        <v>11.029</v>
      </c>
    </row>
    <row r="178" spans="1:5" x14ac:dyDescent="0.25">
      <c r="A178" s="12" t="s">
        <v>64</v>
      </c>
      <c r="B178" s="12" t="s">
        <v>37</v>
      </c>
      <c r="C178" s="12">
        <v>2020</v>
      </c>
      <c r="D178" s="12">
        <v>9554</v>
      </c>
      <c r="E178" s="12">
        <v>9.5540000000000003</v>
      </c>
    </row>
    <row r="179" spans="1:5" x14ac:dyDescent="0.25">
      <c r="A179" s="12" t="s">
        <v>64</v>
      </c>
      <c r="B179" s="12" t="s">
        <v>37</v>
      </c>
      <c r="C179" s="12">
        <v>2021</v>
      </c>
      <c r="D179" s="12">
        <v>10482</v>
      </c>
      <c r="E179" s="12">
        <v>10.481999999999999</v>
      </c>
    </row>
    <row r="180" spans="1:5" x14ac:dyDescent="0.25">
      <c r="A180" s="12" t="s">
        <v>64</v>
      </c>
      <c r="B180" s="12" t="s">
        <v>37</v>
      </c>
      <c r="C180" s="12">
        <v>2022</v>
      </c>
      <c r="D180" s="12">
        <v>10934</v>
      </c>
      <c r="E180" s="12">
        <v>10.933999999999999</v>
      </c>
    </row>
    <row r="181" spans="1:5" x14ac:dyDescent="0.25">
      <c r="A181" s="12" t="s">
        <v>64</v>
      </c>
      <c r="B181" s="12" t="s">
        <v>37</v>
      </c>
      <c r="C181" s="12">
        <v>2023</v>
      </c>
      <c r="D181" s="12">
        <v>11316</v>
      </c>
      <c r="E181" s="12">
        <v>11.316000000000001</v>
      </c>
    </row>
    <row r="182" spans="1:5" x14ac:dyDescent="0.25">
      <c r="A182" s="12" t="s">
        <v>64</v>
      </c>
      <c r="B182" s="12" t="s">
        <v>37</v>
      </c>
      <c r="C182" s="12">
        <v>2024</v>
      </c>
      <c r="D182" s="12">
        <v>11246</v>
      </c>
      <c r="E182" s="12">
        <v>11.246</v>
      </c>
    </row>
    <row r="183" spans="1:5" x14ac:dyDescent="0.25">
      <c r="A183" s="12" t="s">
        <v>65</v>
      </c>
      <c r="B183" s="12" t="s">
        <v>38</v>
      </c>
      <c r="C183" s="12">
        <v>2014</v>
      </c>
      <c r="D183" s="12">
        <v>27581</v>
      </c>
      <c r="E183" s="12">
        <v>27.581</v>
      </c>
    </row>
    <row r="184" spans="1:5" x14ac:dyDescent="0.25">
      <c r="A184" s="12" t="s">
        <v>65</v>
      </c>
      <c r="B184" s="12" t="s">
        <v>38</v>
      </c>
      <c r="C184" s="12">
        <v>2015</v>
      </c>
      <c r="D184" s="12">
        <v>24756</v>
      </c>
      <c r="E184" s="12">
        <v>24.756</v>
      </c>
    </row>
    <row r="185" spans="1:5" x14ac:dyDescent="0.25">
      <c r="A185" s="12" t="s">
        <v>65</v>
      </c>
      <c r="B185" s="12" t="s">
        <v>38</v>
      </c>
      <c r="C185" s="12">
        <v>2016</v>
      </c>
      <c r="D185" s="12">
        <v>23954</v>
      </c>
      <c r="E185" s="12">
        <v>23.954000000000001</v>
      </c>
    </row>
    <row r="186" spans="1:5" x14ac:dyDescent="0.25">
      <c r="A186" s="12" t="s">
        <v>65</v>
      </c>
      <c r="B186" s="12" t="s">
        <v>38</v>
      </c>
      <c r="C186" s="12">
        <v>2017</v>
      </c>
      <c r="D186" s="12">
        <v>26109</v>
      </c>
      <c r="E186" s="12">
        <v>26.109000000000002</v>
      </c>
    </row>
    <row r="187" spans="1:5" x14ac:dyDescent="0.25">
      <c r="A187" s="12" t="s">
        <v>65</v>
      </c>
      <c r="B187" s="12" t="s">
        <v>38</v>
      </c>
      <c r="C187" s="12">
        <v>2018</v>
      </c>
      <c r="D187" s="12">
        <v>28351</v>
      </c>
      <c r="E187" s="12">
        <v>28.350999999999999</v>
      </c>
    </row>
    <row r="188" spans="1:5" x14ac:dyDescent="0.25">
      <c r="A188" s="12" t="s">
        <v>65</v>
      </c>
      <c r="B188" s="12" t="s">
        <v>38</v>
      </c>
      <c r="C188" s="12">
        <v>2019</v>
      </c>
      <c r="D188" s="12">
        <v>28544</v>
      </c>
      <c r="E188" s="12">
        <v>28.544</v>
      </c>
    </row>
    <row r="189" spans="1:5" x14ac:dyDescent="0.25">
      <c r="A189" s="12" t="s">
        <v>65</v>
      </c>
      <c r="B189" s="12" t="s">
        <v>38</v>
      </c>
      <c r="C189" s="12">
        <v>2020</v>
      </c>
      <c r="D189" s="12">
        <v>25276</v>
      </c>
      <c r="E189" s="12">
        <v>25.276</v>
      </c>
    </row>
    <row r="190" spans="1:5" x14ac:dyDescent="0.25">
      <c r="A190" s="12" t="s">
        <v>65</v>
      </c>
      <c r="B190" s="12" t="s">
        <v>38</v>
      </c>
      <c r="C190" s="12">
        <v>2021</v>
      </c>
      <c r="D190" s="12">
        <v>28501</v>
      </c>
      <c r="E190" s="12">
        <v>28.501000000000001</v>
      </c>
    </row>
    <row r="191" spans="1:5" x14ac:dyDescent="0.25">
      <c r="A191" s="12" t="s">
        <v>65</v>
      </c>
      <c r="B191" s="12" t="s">
        <v>38</v>
      </c>
      <c r="C191" s="12">
        <v>2022</v>
      </c>
      <c r="D191" s="12">
        <v>31423</v>
      </c>
      <c r="E191" s="12">
        <v>31.422999999999998</v>
      </c>
    </row>
    <row r="192" spans="1:5" x14ac:dyDescent="0.25">
      <c r="A192" s="12" t="s">
        <v>65</v>
      </c>
      <c r="B192" s="12" t="s">
        <v>38</v>
      </c>
      <c r="C192" s="12">
        <v>2023</v>
      </c>
      <c r="D192" s="12">
        <v>33544</v>
      </c>
      <c r="E192" s="12">
        <v>33.543999999999997</v>
      </c>
    </row>
    <row r="193" spans="1:5" x14ac:dyDescent="0.25">
      <c r="A193" s="12" t="s">
        <v>65</v>
      </c>
      <c r="B193" s="12" t="s">
        <v>38</v>
      </c>
      <c r="C193" s="12">
        <v>2024</v>
      </c>
      <c r="D193" s="12">
        <v>30398</v>
      </c>
      <c r="E193" s="12">
        <v>30.398</v>
      </c>
    </row>
    <row r="194" spans="1:5" x14ac:dyDescent="0.25">
      <c r="A194" s="12" t="s">
        <v>66</v>
      </c>
      <c r="B194" s="12" t="s">
        <v>39</v>
      </c>
      <c r="C194" s="12">
        <v>2014</v>
      </c>
      <c r="D194" s="12">
        <v>47382</v>
      </c>
      <c r="E194" s="12">
        <v>47.381999999999998</v>
      </c>
    </row>
    <row r="195" spans="1:5" x14ac:dyDescent="0.25">
      <c r="A195" s="12" t="s">
        <v>66</v>
      </c>
      <c r="B195" s="12" t="s">
        <v>39</v>
      </c>
      <c r="C195" s="12">
        <v>2015</v>
      </c>
      <c r="D195" s="12">
        <v>48424</v>
      </c>
      <c r="E195" s="12">
        <v>48.423999999999999</v>
      </c>
    </row>
    <row r="196" spans="1:5" x14ac:dyDescent="0.25">
      <c r="A196" s="12" t="s">
        <v>66</v>
      </c>
      <c r="B196" s="12" t="s">
        <v>39</v>
      </c>
      <c r="C196" s="12">
        <v>2016</v>
      </c>
      <c r="D196" s="12">
        <v>54839</v>
      </c>
      <c r="E196" s="12">
        <v>54.838999999999999</v>
      </c>
    </row>
    <row r="197" spans="1:5" x14ac:dyDescent="0.25">
      <c r="A197" s="12" t="s">
        <v>66</v>
      </c>
      <c r="B197" s="12" t="s">
        <v>39</v>
      </c>
      <c r="C197" s="12">
        <v>2017</v>
      </c>
      <c r="D197" s="12">
        <v>58404</v>
      </c>
      <c r="E197" s="12">
        <v>58.404000000000003</v>
      </c>
    </row>
    <row r="198" spans="1:5" x14ac:dyDescent="0.25">
      <c r="A198" s="12" t="s">
        <v>66</v>
      </c>
      <c r="B198" s="12" t="s">
        <v>39</v>
      </c>
      <c r="C198" s="12">
        <v>2018</v>
      </c>
      <c r="D198" s="12">
        <v>56738</v>
      </c>
      <c r="E198" s="12">
        <v>56.738</v>
      </c>
    </row>
    <row r="199" spans="1:5" x14ac:dyDescent="0.25">
      <c r="A199" s="12" t="s">
        <v>66</v>
      </c>
      <c r="B199" s="12" t="s">
        <v>39</v>
      </c>
      <c r="C199" s="12">
        <v>2019</v>
      </c>
      <c r="D199" s="12">
        <v>52631</v>
      </c>
      <c r="E199" s="12">
        <v>52.631</v>
      </c>
    </row>
    <row r="200" spans="1:5" x14ac:dyDescent="0.25">
      <c r="A200" s="12" t="s">
        <v>66</v>
      </c>
      <c r="B200" s="12" t="s">
        <v>39</v>
      </c>
      <c r="C200" s="12">
        <v>2020</v>
      </c>
      <c r="D200" s="12">
        <v>39364</v>
      </c>
      <c r="E200" s="12">
        <v>39.363999999999997</v>
      </c>
    </row>
    <row r="201" spans="1:5" x14ac:dyDescent="0.25">
      <c r="A201" s="12" t="s">
        <v>66</v>
      </c>
      <c r="B201" s="12" t="s">
        <v>39</v>
      </c>
      <c r="C201" s="12">
        <v>2021</v>
      </c>
      <c r="D201" s="12">
        <v>43904</v>
      </c>
      <c r="E201" s="12">
        <v>43.904000000000003</v>
      </c>
    </row>
    <row r="202" spans="1:5" x14ac:dyDescent="0.25">
      <c r="A202" s="12" t="s">
        <v>66</v>
      </c>
      <c r="B202" s="12" t="s">
        <v>39</v>
      </c>
      <c r="C202" s="12">
        <v>2022</v>
      </c>
      <c r="D202" s="12">
        <v>43675</v>
      </c>
      <c r="E202" s="12">
        <v>43.674999999999997</v>
      </c>
    </row>
    <row r="203" spans="1:5" x14ac:dyDescent="0.25">
      <c r="A203" s="12" t="s">
        <v>66</v>
      </c>
      <c r="B203" s="12" t="s">
        <v>39</v>
      </c>
      <c r="C203" s="12">
        <v>2023</v>
      </c>
      <c r="D203" s="12">
        <v>53518</v>
      </c>
      <c r="E203" s="12">
        <v>53.518000000000001</v>
      </c>
    </row>
    <row r="204" spans="1:5" x14ac:dyDescent="0.25">
      <c r="A204" s="12" t="s">
        <v>66</v>
      </c>
      <c r="B204" s="12" t="s">
        <v>39</v>
      </c>
      <c r="C204" s="12">
        <v>2024</v>
      </c>
      <c r="D204" s="12">
        <v>51723</v>
      </c>
      <c r="E204" s="12">
        <v>51.722999999999999</v>
      </c>
    </row>
    <row r="205" spans="1:5" x14ac:dyDescent="0.25">
      <c r="A205" s="12" t="s">
        <v>67</v>
      </c>
      <c r="B205" s="12" t="s">
        <v>40</v>
      </c>
      <c r="C205" s="12">
        <v>2014</v>
      </c>
      <c r="D205" s="12">
        <v>27192</v>
      </c>
      <c r="E205" s="12">
        <v>27.192</v>
      </c>
    </row>
    <row r="206" spans="1:5" x14ac:dyDescent="0.25">
      <c r="A206" s="12" t="s">
        <v>67</v>
      </c>
      <c r="B206" s="12" t="s">
        <v>40</v>
      </c>
      <c r="C206" s="12">
        <v>2015</v>
      </c>
      <c r="D206" s="12">
        <v>27759</v>
      </c>
      <c r="E206" s="12">
        <v>27.759</v>
      </c>
    </row>
    <row r="207" spans="1:5" x14ac:dyDescent="0.25">
      <c r="A207" s="12" t="s">
        <v>67</v>
      </c>
      <c r="B207" s="12" t="s">
        <v>40</v>
      </c>
      <c r="C207" s="12">
        <v>2016</v>
      </c>
      <c r="D207" s="12">
        <v>26403</v>
      </c>
      <c r="E207" s="12">
        <v>26.402999999999999</v>
      </c>
    </row>
    <row r="208" spans="1:5" x14ac:dyDescent="0.25">
      <c r="A208" s="12" t="s">
        <v>67</v>
      </c>
      <c r="B208" s="12" t="s">
        <v>40</v>
      </c>
      <c r="C208" s="12">
        <v>2017</v>
      </c>
      <c r="D208" s="12">
        <v>31831</v>
      </c>
      <c r="E208" s="12">
        <v>31.831</v>
      </c>
    </row>
    <row r="209" spans="1:5" x14ac:dyDescent="0.25">
      <c r="A209" s="12" t="s">
        <v>67</v>
      </c>
      <c r="B209" s="12" t="s">
        <v>40</v>
      </c>
      <c r="C209" s="12">
        <v>2018</v>
      </c>
      <c r="D209" s="12">
        <v>30603</v>
      </c>
      <c r="E209" s="12">
        <v>30.603000000000002</v>
      </c>
    </row>
    <row r="210" spans="1:5" x14ac:dyDescent="0.25">
      <c r="A210" s="12" t="s">
        <v>67</v>
      </c>
      <c r="B210" s="12" t="s">
        <v>40</v>
      </c>
      <c r="C210" s="12">
        <v>2019</v>
      </c>
      <c r="D210" s="12">
        <v>31058</v>
      </c>
      <c r="E210" s="12">
        <v>31.058</v>
      </c>
    </row>
    <row r="211" spans="1:5" x14ac:dyDescent="0.25">
      <c r="A211" s="12" t="s">
        <v>67</v>
      </c>
      <c r="B211" s="12" t="s">
        <v>40</v>
      </c>
      <c r="C211" s="12">
        <v>2020</v>
      </c>
      <c r="D211" s="12">
        <v>26800</v>
      </c>
      <c r="E211" s="12">
        <v>26.8</v>
      </c>
    </row>
    <row r="212" spans="1:5" x14ac:dyDescent="0.25">
      <c r="A212" s="12" t="s">
        <v>67</v>
      </c>
      <c r="B212" s="12" t="s">
        <v>40</v>
      </c>
      <c r="C212" s="12">
        <v>2021</v>
      </c>
      <c r="D212" s="12">
        <v>25226</v>
      </c>
      <c r="E212" s="12">
        <v>25.225999999999999</v>
      </c>
    </row>
    <row r="213" spans="1:5" x14ac:dyDescent="0.25">
      <c r="A213" s="12" t="s">
        <v>67</v>
      </c>
      <c r="B213" s="12" t="s">
        <v>40</v>
      </c>
      <c r="C213" s="12">
        <v>2022</v>
      </c>
      <c r="D213" s="12">
        <v>26989</v>
      </c>
      <c r="E213" s="12">
        <v>26.989000000000001</v>
      </c>
    </row>
    <row r="214" spans="1:5" x14ac:dyDescent="0.25">
      <c r="A214" s="12" t="s">
        <v>67</v>
      </c>
      <c r="B214" s="12" t="s">
        <v>40</v>
      </c>
      <c r="C214" s="12">
        <v>2023</v>
      </c>
      <c r="D214" s="12">
        <v>28925</v>
      </c>
      <c r="E214" s="12">
        <v>28.925000000000001</v>
      </c>
    </row>
    <row r="215" spans="1:5" x14ac:dyDescent="0.25">
      <c r="A215" s="12" t="s">
        <v>67</v>
      </c>
      <c r="B215" s="12" t="s">
        <v>40</v>
      </c>
      <c r="C215" s="12">
        <v>2024</v>
      </c>
      <c r="D215" s="12">
        <v>29554</v>
      </c>
      <c r="E215" s="12">
        <v>29.553999999999998</v>
      </c>
    </row>
    <row r="216" spans="1:5" x14ac:dyDescent="0.25">
      <c r="A216" s="12" t="s">
        <v>68</v>
      </c>
      <c r="B216" s="12" t="s">
        <v>41</v>
      </c>
      <c r="C216" s="12">
        <v>2014</v>
      </c>
      <c r="D216" s="12">
        <v>6557</v>
      </c>
      <c r="E216" s="12">
        <v>6.5570000000000004</v>
      </c>
    </row>
    <row r="217" spans="1:5" x14ac:dyDescent="0.25">
      <c r="A217" s="12" t="s">
        <v>68</v>
      </c>
      <c r="B217" s="12" t="s">
        <v>41</v>
      </c>
      <c r="C217" s="12">
        <v>2015</v>
      </c>
      <c r="D217" s="12">
        <v>6709</v>
      </c>
      <c r="E217" s="12">
        <v>6.7089999999999996</v>
      </c>
    </row>
    <row r="218" spans="1:5" x14ac:dyDescent="0.25">
      <c r="A218" s="12" t="s">
        <v>68</v>
      </c>
      <c r="B218" s="12" t="s">
        <v>41</v>
      </c>
      <c r="C218" s="12">
        <v>2016</v>
      </c>
      <c r="D218" s="12">
        <v>7359</v>
      </c>
      <c r="E218" s="12">
        <v>7.359</v>
      </c>
    </row>
    <row r="219" spans="1:5" x14ac:dyDescent="0.25">
      <c r="A219" s="12" t="s">
        <v>68</v>
      </c>
      <c r="B219" s="12" t="s">
        <v>41</v>
      </c>
      <c r="C219" s="12">
        <v>2017</v>
      </c>
      <c r="D219" s="12">
        <v>6996</v>
      </c>
      <c r="E219" s="12">
        <v>6.9960000000000004</v>
      </c>
    </row>
    <row r="220" spans="1:5" x14ac:dyDescent="0.25">
      <c r="A220" s="12" t="s">
        <v>68</v>
      </c>
      <c r="B220" s="12" t="s">
        <v>41</v>
      </c>
      <c r="C220" s="12">
        <v>2018</v>
      </c>
      <c r="D220" s="12">
        <v>7178</v>
      </c>
      <c r="E220" s="12">
        <v>7.1779999999999999</v>
      </c>
    </row>
    <row r="221" spans="1:5" x14ac:dyDescent="0.25">
      <c r="A221" s="12" t="s">
        <v>68</v>
      </c>
      <c r="B221" s="12" t="s">
        <v>41</v>
      </c>
      <c r="C221" s="12">
        <v>2019</v>
      </c>
      <c r="D221" s="12">
        <v>7367</v>
      </c>
      <c r="E221" s="12">
        <v>7.367</v>
      </c>
    </row>
    <row r="222" spans="1:5" x14ac:dyDescent="0.25">
      <c r="A222" s="12" t="s">
        <v>68</v>
      </c>
      <c r="B222" s="12" t="s">
        <v>41</v>
      </c>
      <c r="C222" s="12">
        <v>2020</v>
      </c>
      <c r="D222" s="12">
        <v>6437</v>
      </c>
      <c r="E222" s="12">
        <v>6.4370000000000003</v>
      </c>
    </row>
    <row r="223" spans="1:5" x14ac:dyDescent="0.25">
      <c r="A223" s="12" t="s">
        <v>68</v>
      </c>
      <c r="B223" s="12" t="s">
        <v>41</v>
      </c>
      <c r="C223" s="12">
        <v>2021</v>
      </c>
      <c r="D223" s="12">
        <v>7879</v>
      </c>
      <c r="E223" s="12">
        <v>7.8789999999999996</v>
      </c>
    </row>
    <row r="224" spans="1:5" x14ac:dyDescent="0.25">
      <c r="A224" s="12" t="s">
        <v>68</v>
      </c>
      <c r="B224" s="12" t="s">
        <v>41</v>
      </c>
      <c r="C224" s="12">
        <v>2022</v>
      </c>
      <c r="D224" s="12">
        <v>8186</v>
      </c>
      <c r="E224" s="12">
        <v>8.1859999999999999</v>
      </c>
    </row>
    <row r="225" spans="1:5" x14ac:dyDescent="0.25">
      <c r="A225" s="12" t="s">
        <v>68</v>
      </c>
      <c r="B225" s="12" t="s">
        <v>41</v>
      </c>
      <c r="C225" s="12">
        <v>2023</v>
      </c>
      <c r="D225" s="12">
        <v>7907</v>
      </c>
      <c r="E225" s="12">
        <v>7.907</v>
      </c>
    </row>
    <row r="226" spans="1:5" x14ac:dyDescent="0.25">
      <c r="A226" s="12" t="s">
        <v>68</v>
      </c>
      <c r="B226" s="12" t="s">
        <v>41</v>
      </c>
      <c r="C226" s="12">
        <v>2024</v>
      </c>
      <c r="D226" s="12">
        <v>7246</v>
      </c>
      <c r="E226" s="12">
        <v>7.2460000000000004</v>
      </c>
    </row>
    <row r="227" spans="1:5" x14ac:dyDescent="0.25">
      <c r="A227" s="12" t="s">
        <v>69</v>
      </c>
      <c r="B227" s="12" t="s">
        <v>42</v>
      </c>
      <c r="C227" s="12">
        <v>2014</v>
      </c>
      <c r="D227" s="12">
        <v>4771</v>
      </c>
      <c r="E227" s="12">
        <v>4.7709999999999999</v>
      </c>
    </row>
    <row r="228" spans="1:5" x14ac:dyDescent="0.25">
      <c r="A228" s="12" t="s">
        <v>69</v>
      </c>
      <c r="B228" s="12" t="s">
        <v>42</v>
      </c>
      <c r="C228" s="12">
        <v>2015</v>
      </c>
      <c r="D228" s="12">
        <v>4932</v>
      </c>
      <c r="E228" s="12">
        <v>4.9320000000000004</v>
      </c>
    </row>
    <row r="229" spans="1:5" x14ac:dyDescent="0.25">
      <c r="A229" s="12" t="s">
        <v>69</v>
      </c>
      <c r="B229" s="12" t="s">
        <v>42</v>
      </c>
      <c r="C229" s="12">
        <v>2016</v>
      </c>
      <c r="D229" s="12">
        <v>5146</v>
      </c>
      <c r="E229" s="12">
        <v>5.1459999999999999</v>
      </c>
    </row>
    <row r="230" spans="1:5" x14ac:dyDescent="0.25">
      <c r="A230" s="12" t="s">
        <v>69</v>
      </c>
      <c r="B230" s="12" t="s">
        <v>42</v>
      </c>
      <c r="C230" s="12">
        <v>2017</v>
      </c>
      <c r="D230" s="12">
        <v>5441</v>
      </c>
      <c r="E230" s="12">
        <v>5.4409999999999998</v>
      </c>
    </row>
    <row r="231" spans="1:5" x14ac:dyDescent="0.25">
      <c r="A231" s="12" t="s">
        <v>69</v>
      </c>
      <c r="B231" s="12" t="s">
        <v>42</v>
      </c>
      <c r="C231" s="12">
        <v>2018</v>
      </c>
      <c r="D231" s="12">
        <v>5610</v>
      </c>
      <c r="E231" s="12">
        <v>5.61</v>
      </c>
    </row>
    <row r="232" spans="1:5" x14ac:dyDescent="0.25">
      <c r="A232" s="12" t="s">
        <v>69</v>
      </c>
      <c r="B232" s="12" t="s">
        <v>42</v>
      </c>
      <c r="C232" s="12">
        <v>2019</v>
      </c>
      <c r="D232" s="12">
        <v>6328</v>
      </c>
      <c r="E232" s="12">
        <v>6.3280000000000003</v>
      </c>
    </row>
    <row r="233" spans="1:5" x14ac:dyDescent="0.25">
      <c r="A233" s="12" t="s">
        <v>69</v>
      </c>
      <c r="B233" s="12" t="s">
        <v>42</v>
      </c>
      <c r="C233" s="12">
        <v>2020</v>
      </c>
      <c r="D233" s="12">
        <v>7019</v>
      </c>
      <c r="E233" s="12">
        <v>7.0190000000000001</v>
      </c>
    </row>
    <row r="234" spans="1:5" x14ac:dyDescent="0.25">
      <c r="A234" s="12" t="s">
        <v>69</v>
      </c>
      <c r="B234" s="12" t="s">
        <v>42</v>
      </c>
      <c r="C234" s="12">
        <v>2021</v>
      </c>
      <c r="D234" s="12">
        <v>7951</v>
      </c>
      <c r="E234" s="12">
        <v>7.9509999999999996</v>
      </c>
    </row>
    <row r="235" spans="1:5" x14ac:dyDescent="0.25">
      <c r="A235" s="12" t="s">
        <v>69</v>
      </c>
      <c r="B235" s="12" t="s">
        <v>42</v>
      </c>
      <c r="C235" s="12">
        <v>2022</v>
      </c>
      <c r="D235" s="12">
        <v>9080</v>
      </c>
      <c r="E235" s="12">
        <v>9.08</v>
      </c>
    </row>
    <row r="236" spans="1:5" x14ac:dyDescent="0.25">
      <c r="A236" s="12" t="s">
        <v>69</v>
      </c>
      <c r="B236" s="12" t="s">
        <v>42</v>
      </c>
      <c r="C236" s="12">
        <v>2023</v>
      </c>
      <c r="D236" s="12">
        <v>9617</v>
      </c>
      <c r="E236" s="12">
        <v>9.6170000000000009</v>
      </c>
    </row>
    <row r="237" spans="1:5" x14ac:dyDescent="0.25">
      <c r="A237" s="12" t="s">
        <v>69</v>
      </c>
      <c r="B237" s="12" t="s">
        <v>42</v>
      </c>
      <c r="C237" s="12">
        <v>2024</v>
      </c>
      <c r="D237" s="12">
        <v>9447</v>
      </c>
      <c r="E237" s="12">
        <v>9.4469999999999992</v>
      </c>
    </row>
    <row r="238" spans="1:5" x14ac:dyDescent="0.25">
      <c r="A238" s="12" t="s">
        <v>70</v>
      </c>
      <c r="B238" s="12" t="s">
        <v>43</v>
      </c>
      <c r="C238" s="12">
        <v>2014</v>
      </c>
      <c r="D238" s="12">
        <v>14086</v>
      </c>
      <c r="E238" s="12">
        <v>14.086</v>
      </c>
    </row>
    <row r="239" spans="1:5" x14ac:dyDescent="0.25">
      <c r="A239" s="12" t="s">
        <v>70</v>
      </c>
      <c r="B239" s="12" t="s">
        <v>43</v>
      </c>
      <c r="C239" s="12">
        <v>2015</v>
      </c>
      <c r="D239" s="12">
        <v>14221</v>
      </c>
      <c r="E239" s="12">
        <v>14.221</v>
      </c>
    </row>
    <row r="240" spans="1:5" x14ac:dyDescent="0.25">
      <c r="A240" s="12" t="s">
        <v>70</v>
      </c>
      <c r="B240" s="12" t="s">
        <v>43</v>
      </c>
      <c r="C240" s="12">
        <v>2016</v>
      </c>
      <c r="D240" s="12">
        <v>14207</v>
      </c>
      <c r="E240" s="12">
        <v>14.207000000000001</v>
      </c>
    </row>
    <row r="241" spans="1:5" x14ac:dyDescent="0.25">
      <c r="A241" s="12" t="s">
        <v>70</v>
      </c>
      <c r="B241" s="12" t="s">
        <v>43</v>
      </c>
      <c r="C241" s="12">
        <v>2017</v>
      </c>
      <c r="D241" s="12">
        <v>15265</v>
      </c>
      <c r="E241" s="12">
        <v>15.265000000000001</v>
      </c>
    </row>
    <row r="242" spans="1:5" x14ac:dyDescent="0.25">
      <c r="A242" s="12" t="s">
        <v>70</v>
      </c>
      <c r="B242" s="12" t="s">
        <v>43</v>
      </c>
      <c r="C242" s="12">
        <v>2018</v>
      </c>
      <c r="D242" s="12">
        <v>15816</v>
      </c>
      <c r="E242" s="12">
        <v>15.816000000000001</v>
      </c>
    </row>
    <row r="243" spans="1:5" x14ac:dyDescent="0.25">
      <c r="A243" s="12" t="s">
        <v>70</v>
      </c>
      <c r="B243" s="12" t="s">
        <v>43</v>
      </c>
      <c r="C243" s="12">
        <v>2019</v>
      </c>
      <c r="D243" s="12">
        <v>15002</v>
      </c>
      <c r="E243" s="12">
        <v>15.002000000000001</v>
      </c>
    </row>
    <row r="244" spans="1:5" x14ac:dyDescent="0.25">
      <c r="A244" s="12" t="s">
        <v>70</v>
      </c>
      <c r="B244" s="12" t="s">
        <v>43</v>
      </c>
      <c r="C244" s="12">
        <v>2020</v>
      </c>
      <c r="D244" s="12">
        <v>13452</v>
      </c>
      <c r="E244" s="12">
        <v>13.452</v>
      </c>
    </row>
    <row r="245" spans="1:5" x14ac:dyDescent="0.25">
      <c r="A245" s="12" t="s">
        <v>70</v>
      </c>
      <c r="B245" s="12" t="s">
        <v>43</v>
      </c>
      <c r="C245" s="12">
        <v>2021</v>
      </c>
      <c r="D245" s="12">
        <v>13840</v>
      </c>
      <c r="E245" s="12">
        <v>13.84</v>
      </c>
    </row>
    <row r="246" spans="1:5" x14ac:dyDescent="0.25">
      <c r="A246" s="12" t="s">
        <v>70</v>
      </c>
      <c r="B246" s="12" t="s">
        <v>43</v>
      </c>
      <c r="C246" s="12">
        <v>2022</v>
      </c>
      <c r="D246" s="12">
        <v>14697</v>
      </c>
      <c r="E246" s="12">
        <v>14.696999999999999</v>
      </c>
    </row>
    <row r="247" spans="1:5" x14ac:dyDescent="0.25">
      <c r="A247" s="12" t="s">
        <v>70</v>
      </c>
      <c r="B247" s="12" t="s">
        <v>43</v>
      </c>
      <c r="C247" s="12">
        <v>2023</v>
      </c>
      <c r="D247" s="12">
        <v>16920</v>
      </c>
      <c r="E247" s="12">
        <v>16.920000000000002</v>
      </c>
    </row>
    <row r="248" spans="1:5" x14ac:dyDescent="0.25">
      <c r="A248" s="12" t="s">
        <v>70</v>
      </c>
      <c r="B248" s="12" t="s">
        <v>43</v>
      </c>
      <c r="C248" s="12">
        <v>2024</v>
      </c>
      <c r="D248" s="12">
        <v>16317</v>
      </c>
      <c r="E248" s="12">
        <v>16.317</v>
      </c>
    </row>
    <row r="249" spans="1:5" x14ac:dyDescent="0.25">
      <c r="A249" s="12" t="s">
        <v>45</v>
      </c>
      <c r="B249" s="12" t="s">
        <v>44</v>
      </c>
      <c r="C249" s="12">
        <v>2014</v>
      </c>
      <c r="D249" s="12">
        <v>362545</v>
      </c>
      <c r="E249" s="12">
        <v>362.54500000000002</v>
      </c>
    </row>
    <row r="250" spans="1:5" x14ac:dyDescent="0.25">
      <c r="A250" s="12" t="s">
        <v>45</v>
      </c>
      <c r="B250" s="12" t="s">
        <v>44</v>
      </c>
      <c r="C250" s="12">
        <v>2015</v>
      </c>
      <c r="D250" s="12">
        <v>358143</v>
      </c>
      <c r="E250" s="12">
        <v>358.14299999999997</v>
      </c>
    </row>
    <row r="251" spans="1:5" x14ac:dyDescent="0.25">
      <c r="A251" s="12" t="s">
        <v>45</v>
      </c>
      <c r="B251" s="12" t="s">
        <v>44</v>
      </c>
      <c r="C251" s="12">
        <v>2016</v>
      </c>
      <c r="D251" s="12">
        <v>365726</v>
      </c>
      <c r="E251" s="12">
        <v>365.726</v>
      </c>
    </row>
    <row r="252" spans="1:5" x14ac:dyDescent="0.25">
      <c r="A252" s="12" t="s">
        <v>45</v>
      </c>
      <c r="B252" s="12" t="s">
        <v>44</v>
      </c>
      <c r="C252" s="12">
        <v>2017</v>
      </c>
      <c r="D252" s="12">
        <v>389316</v>
      </c>
      <c r="E252" s="12">
        <v>389.31599999999997</v>
      </c>
    </row>
    <row r="253" spans="1:5" x14ac:dyDescent="0.25">
      <c r="A253" s="12" t="s">
        <v>45</v>
      </c>
      <c r="B253" s="12" t="s">
        <v>44</v>
      </c>
      <c r="C253" s="12">
        <v>2018</v>
      </c>
      <c r="D253" s="12">
        <v>401439</v>
      </c>
      <c r="E253" s="12">
        <v>401.43900000000002</v>
      </c>
    </row>
    <row r="254" spans="1:5" x14ac:dyDescent="0.25">
      <c r="A254" s="12" t="s">
        <v>45</v>
      </c>
      <c r="B254" s="12" t="s">
        <v>44</v>
      </c>
      <c r="C254" s="12">
        <v>2019</v>
      </c>
      <c r="D254" s="12">
        <v>402184</v>
      </c>
      <c r="E254" s="12">
        <v>402.18400000000003</v>
      </c>
    </row>
    <row r="255" spans="1:5" x14ac:dyDescent="0.25">
      <c r="A255" s="12" t="s">
        <v>45</v>
      </c>
      <c r="B255" s="12" t="s">
        <v>44</v>
      </c>
      <c r="C255" s="12">
        <v>2020</v>
      </c>
      <c r="D255" s="12">
        <v>366377</v>
      </c>
      <c r="E255" s="12">
        <v>366.37700000000001</v>
      </c>
    </row>
    <row r="256" spans="1:5" x14ac:dyDescent="0.25">
      <c r="A256" s="12" t="s">
        <v>45</v>
      </c>
      <c r="B256" s="12" t="s">
        <v>44</v>
      </c>
      <c r="C256" s="12">
        <v>2021</v>
      </c>
      <c r="D256" s="12">
        <v>401471</v>
      </c>
      <c r="E256" s="12">
        <v>401.471</v>
      </c>
    </row>
    <row r="257" spans="1:5" x14ac:dyDescent="0.25">
      <c r="A257" s="12" t="s">
        <v>45</v>
      </c>
      <c r="B257" s="12" t="s">
        <v>44</v>
      </c>
      <c r="C257" s="12">
        <v>2022</v>
      </c>
      <c r="D257" s="12">
        <v>438909</v>
      </c>
      <c r="E257" s="12">
        <v>438.90899999999999</v>
      </c>
    </row>
    <row r="258" spans="1:5" x14ac:dyDescent="0.25">
      <c r="A258" s="12" t="s">
        <v>45</v>
      </c>
      <c r="B258" s="12" t="s">
        <v>44</v>
      </c>
      <c r="C258" s="12">
        <v>2023</v>
      </c>
      <c r="D258" s="12">
        <v>466696</v>
      </c>
      <c r="E258" s="12">
        <v>466.69600000000003</v>
      </c>
    </row>
    <row r="259" spans="1:5" x14ac:dyDescent="0.25">
      <c r="A259" s="12" t="s">
        <v>45</v>
      </c>
      <c r="B259" s="12" t="s">
        <v>44</v>
      </c>
      <c r="C259" s="12">
        <v>2024</v>
      </c>
      <c r="D259" s="12">
        <v>452190</v>
      </c>
      <c r="E259" s="12">
        <v>452.19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opLeftCell="A10" zoomScale="85" zoomScaleNormal="85" workbookViewId="0">
      <selection activeCell="D25" sqref="D25"/>
    </sheetView>
  </sheetViews>
  <sheetFormatPr defaultRowHeight="15" x14ac:dyDescent="0.25"/>
  <cols>
    <col min="1" max="1" width="27.28515625" customWidth="1"/>
    <col min="2" max="2" width="20.42578125" customWidth="1"/>
    <col min="3" max="25" width="117.5703125" bestFit="1" customWidth="1"/>
    <col min="26" max="26" width="11.28515625" bestFit="1" customWidth="1"/>
  </cols>
  <sheetData>
    <row r="1" spans="1:2" x14ac:dyDescent="0.25">
      <c r="A1" s="23" t="s">
        <v>72</v>
      </c>
      <c r="B1" s="24" t="s">
        <v>75</v>
      </c>
    </row>
    <row r="2" spans="1:2" x14ac:dyDescent="0.25">
      <c r="A2" s="25">
        <v>2014</v>
      </c>
      <c r="B2" s="26">
        <v>660.44900000000007</v>
      </c>
    </row>
    <row r="3" spans="1:2" x14ac:dyDescent="0.25">
      <c r="A3" s="25">
        <v>2015</v>
      </c>
      <c r="B3" s="26">
        <v>716.28700000000003</v>
      </c>
    </row>
    <row r="4" spans="1:2" x14ac:dyDescent="0.25">
      <c r="A4" s="25">
        <v>2016</v>
      </c>
      <c r="B4" s="26">
        <v>731.452</v>
      </c>
    </row>
    <row r="5" spans="1:2" x14ac:dyDescent="0.25">
      <c r="A5" s="25">
        <v>2017</v>
      </c>
      <c r="B5" s="26">
        <v>778.63199999999995</v>
      </c>
    </row>
    <row r="6" spans="1:2" x14ac:dyDescent="0.25">
      <c r="A6" s="25">
        <v>2018</v>
      </c>
      <c r="B6" s="26">
        <v>802.88000000000011</v>
      </c>
    </row>
    <row r="7" spans="1:2" x14ac:dyDescent="0.25">
      <c r="A7" s="25">
        <v>2019</v>
      </c>
      <c r="B7" s="26">
        <v>804.36799999999994</v>
      </c>
    </row>
    <row r="8" spans="1:2" x14ac:dyDescent="0.25">
      <c r="A8" s="25">
        <v>2020</v>
      </c>
      <c r="B8" s="26">
        <v>732.75400000000002</v>
      </c>
    </row>
    <row r="9" spans="1:2" x14ac:dyDescent="0.25">
      <c r="A9" s="25">
        <v>2021</v>
      </c>
      <c r="B9" s="26">
        <v>802.94200000000001</v>
      </c>
    </row>
    <row r="10" spans="1:2" x14ac:dyDescent="0.25">
      <c r="A10" s="25">
        <v>2022</v>
      </c>
      <c r="B10" s="26">
        <v>877.81999999999994</v>
      </c>
    </row>
    <row r="11" spans="1:2" x14ac:dyDescent="0.25">
      <c r="A11" s="25">
        <v>2023</v>
      </c>
      <c r="B11" s="26">
        <v>933.39200000000005</v>
      </c>
    </row>
    <row r="12" spans="1:2" x14ac:dyDescent="0.25">
      <c r="A12" s="25">
        <v>2024</v>
      </c>
      <c r="B12" s="26">
        <v>904.37899999999991</v>
      </c>
    </row>
    <row r="13" spans="1:2" x14ac:dyDescent="0.25">
      <c r="A13" s="25" t="s">
        <v>73</v>
      </c>
      <c r="B13" s="26">
        <v>8745.3549999999996</v>
      </c>
    </row>
    <row r="17" spans="1:2" x14ac:dyDescent="0.25">
      <c r="A17" s="14" t="s">
        <v>72</v>
      </c>
      <c r="B17" t="s">
        <v>75</v>
      </c>
    </row>
    <row r="18" spans="1:2" ht="30" x14ac:dyDescent="0.25">
      <c r="A18" s="21" t="s">
        <v>43</v>
      </c>
      <c r="B18" s="22">
        <v>2.162579375849465E-2</v>
      </c>
    </row>
    <row r="19" spans="1:2" ht="30" x14ac:dyDescent="0.25">
      <c r="A19" s="21" t="s">
        <v>20</v>
      </c>
      <c r="B19" s="22">
        <v>2.2115803991682493E-2</v>
      </c>
    </row>
    <row r="20" spans="1:2" ht="30" x14ac:dyDescent="0.25">
      <c r="A20" s="21" t="s">
        <v>32</v>
      </c>
      <c r="B20" s="22">
        <v>2.7326122931317247E-2</v>
      </c>
    </row>
    <row r="21" spans="1:2" ht="30" x14ac:dyDescent="0.25">
      <c r="A21" s="21" t="s">
        <v>30</v>
      </c>
      <c r="B21" s="22">
        <v>3.7590200428970162E-2</v>
      </c>
    </row>
    <row r="22" spans="1:2" ht="45" x14ac:dyDescent="0.25">
      <c r="A22" s="21" t="s">
        <v>38</v>
      </c>
      <c r="B22" s="22">
        <v>4.0715863764482503E-2</v>
      </c>
    </row>
    <row r="23" spans="1:2" ht="30" x14ac:dyDescent="0.25">
      <c r="A23" s="21" t="s">
        <v>40</v>
      </c>
      <c r="B23" s="22">
        <v>4.1231087347492229E-2</v>
      </c>
    </row>
    <row r="24" spans="1:2" ht="45" x14ac:dyDescent="0.25">
      <c r="A24" s="21" t="s">
        <v>35</v>
      </c>
      <c r="B24" s="22">
        <v>4.2519608329751546E-2</v>
      </c>
    </row>
    <row r="25" spans="1:2" ht="45" x14ac:dyDescent="0.25">
      <c r="A25" s="21" t="s">
        <v>39</v>
      </c>
      <c r="B25" s="22">
        <v>7.2683355176102693E-2</v>
      </c>
    </row>
    <row r="26" spans="1:2" ht="30" x14ac:dyDescent="0.25">
      <c r="A26" s="21" t="s">
        <v>19</v>
      </c>
      <c r="B26" s="22">
        <v>0.11270156159080133</v>
      </c>
    </row>
    <row r="27" spans="1:2" x14ac:dyDescent="0.25">
      <c r="A27" s="21" t="s">
        <v>44</v>
      </c>
      <c r="B27" s="22">
        <v>0.58149060268090513</v>
      </c>
    </row>
    <row r="28" spans="1:2" x14ac:dyDescent="0.25">
      <c r="A28" s="15" t="s">
        <v>73</v>
      </c>
      <c r="B28" s="16">
        <v>1</v>
      </c>
    </row>
    <row r="50" spans="1:2" x14ac:dyDescent="0.25">
      <c r="A50" s="14" t="s">
        <v>72</v>
      </c>
      <c r="B50" t="s">
        <v>76</v>
      </c>
    </row>
    <row r="51" spans="1:2" x14ac:dyDescent="0.25">
      <c r="A51" s="25">
        <v>2014</v>
      </c>
      <c r="B51" s="27"/>
    </row>
    <row r="52" spans="1:2" x14ac:dyDescent="0.25">
      <c r="A52" s="25">
        <v>2015</v>
      </c>
      <c r="B52" s="27">
        <v>8.454551373383859E-2</v>
      </c>
    </row>
    <row r="53" spans="1:2" x14ac:dyDescent="0.25">
      <c r="A53" s="25">
        <v>2016</v>
      </c>
      <c r="B53" s="27">
        <v>2.1171681183659571E-2</v>
      </c>
    </row>
    <row r="54" spans="1:2" x14ac:dyDescent="0.25">
      <c r="A54" s="25">
        <v>2017</v>
      </c>
      <c r="B54" s="27">
        <v>6.4501840175431813E-2</v>
      </c>
    </row>
    <row r="55" spans="1:2" x14ac:dyDescent="0.25">
      <c r="A55" s="25">
        <v>2018</v>
      </c>
      <c r="B55" s="27">
        <v>3.1141797408788956E-2</v>
      </c>
    </row>
    <row r="56" spans="1:2" x14ac:dyDescent="0.25">
      <c r="A56" s="25">
        <v>2019</v>
      </c>
      <c r="B56" s="27">
        <v>1.8533280191309147E-3</v>
      </c>
    </row>
    <row r="57" spans="1:2" x14ac:dyDescent="0.25">
      <c r="A57" s="25">
        <v>2020</v>
      </c>
      <c r="B57" s="27">
        <v>-8.903138861814483E-2</v>
      </c>
    </row>
    <row r="58" spans="1:2" x14ac:dyDescent="0.25">
      <c r="A58" s="25">
        <v>2021</v>
      </c>
      <c r="B58" s="27">
        <v>9.5786580489495773E-2</v>
      </c>
    </row>
    <row r="59" spans="1:2" x14ac:dyDescent="0.25">
      <c r="A59" s="25">
        <v>2022</v>
      </c>
      <c r="B59" s="27">
        <v>9.3254556368953079E-2</v>
      </c>
    </row>
    <row r="60" spans="1:2" x14ac:dyDescent="0.25">
      <c r="A60" s="25">
        <v>2023</v>
      </c>
      <c r="B60" s="27">
        <v>6.3306828279146202E-2</v>
      </c>
    </row>
    <row r="61" spans="1:2" x14ac:dyDescent="0.25">
      <c r="A61" s="25">
        <v>2024</v>
      </c>
      <c r="B61" s="27">
        <v>-3.1083403328933765E-2</v>
      </c>
    </row>
    <row r="62" spans="1:2" x14ac:dyDescent="0.25">
      <c r="A62" s="25" t="s">
        <v>73</v>
      </c>
      <c r="B62" s="22"/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79BCA-BCC6-4FF0-8E97-A1BD67186E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Raw_Table2_Divisions</vt:lpstr>
      <vt:lpstr>Clean_Data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2025-12-19T13:30:33Z</dcterms:modified>
</cp:coreProperties>
</file>