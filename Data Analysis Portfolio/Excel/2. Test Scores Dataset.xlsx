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izorar\Desktop\Portfolio\Data Analysis Portfolio\Excel\"/>
    </mc:Choice>
  </mc:AlternateContent>
  <bookViews>
    <workbookView xWindow="0" yWindow="0" windowWidth="28800" windowHeight="12300"/>
  </bookViews>
  <sheets>
    <sheet name="D2 - Test scores dataset" sheetId="1" r:id="rId1"/>
  </sheets>
  <definedNames>
    <definedName name="_xlnm._FilterDatabase" localSheetId="0" hidden="1">'D2 - Test scores dataset'!$E$19:$E$19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F2" i="1"/>
  <c r="E16" i="1" s="1"/>
  <c r="E3" i="1"/>
  <c r="F3" i="1"/>
  <c r="G5" i="1" s="1"/>
  <c r="I5" i="1" s="1"/>
  <c r="J5" i="1" s="1"/>
  <c r="E4" i="1"/>
  <c r="F4" i="1"/>
  <c r="F14" i="1" s="1"/>
  <c r="E5" i="1"/>
  <c r="F5" i="1"/>
  <c r="E6" i="1"/>
  <c r="F6" i="1"/>
  <c r="E7" i="1"/>
  <c r="F7" i="1"/>
  <c r="E8" i="1"/>
  <c r="F8" i="1"/>
  <c r="G8" i="1" s="1"/>
  <c r="I8" i="1" s="1"/>
  <c r="J8" i="1" s="1"/>
  <c r="E9" i="1"/>
  <c r="F9" i="1"/>
  <c r="G9" i="1" s="1"/>
  <c r="I9" i="1" s="1"/>
  <c r="J9" i="1" s="1"/>
  <c r="E10" i="1"/>
  <c r="F10" i="1"/>
  <c r="E11" i="1"/>
  <c r="F11" i="1"/>
  <c r="G11" i="1"/>
  <c r="I11" i="1" s="1"/>
  <c r="J11" i="1" s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E17" i="1" l="1"/>
  <c r="G4" i="1"/>
  <c r="I4" i="1" s="1"/>
  <c r="J4" i="1" s="1"/>
  <c r="G3" i="1"/>
  <c r="I3" i="1" s="1"/>
  <c r="J3" i="1" s="1"/>
  <c r="G6" i="1"/>
  <c r="I6" i="1" s="1"/>
  <c r="J6" i="1" s="1"/>
  <c r="G10" i="1"/>
  <c r="I10" i="1" s="1"/>
  <c r="J10" i="1" s="1"/>
  <c r="F13" i="1"/>
  <c r="G16" i="1" s="1"/>
  <c r="H16" i="1" s="1"/>
  <c r="G7" i="1"/>
  <c r="I7" i="1" s="1"/>
  <c r="J7" i="1" s="1"/>
  <c r="G2" i="1"/>
  <c r="I2" i="1" s="1"/>
  <c r="J2" i="1" s="1"/>
  <c r="E18" i="1" l="1"/>
  <c r="G17" i="1"/>
  <c r="H17" i="1" s="1"/>
  <c r="E19" i="1" l="1"/>
  <c r="G18" i="1"/>
  <c r="H18" i="1" s="1"/>
  <c r="E20" i="1" l="1"/>
  <c r="G19" i="1"/>
  <c r="H19" i="1" s="1"/>
  <c r="G20" i="1" l="1"/>
  <c r="H20" i="1" s="1"/>
  <c r="E21" i="1"/>
  <c r="G21" i="1" l="1"/>
  <c r="H21" i="1" s="1"/>
  <c r="E22" i="1"/>
  <c r="G22" i="1" l="1"/>
  <c r="H22" i="1" s="1"/>
  <c r="E23" i="1"/>
  <c r="G23" i="1" l="1"/>
  <c r="H23" i="1" s="1"/>
  <c r="E24" i="1"/>
  <c r="G24" i="1" l="1"/>
  <c r="H24" i="1" s="1"/>
  <c r="E25" i="1"/>
  <c r="E26" i="1" l="1"/>
  <c r="G25" i="1"/>
  <c r="H25" i="1" s="1"/>
  <c r="G26" i="1" l="1"/>
  <c r="H26" i="1" s="1"/>
  <c r="E27" i="1"/>
  <c r="G27" i="1" l="1"/>
  <c r="H27" i="1" s="1"/>
  <c r="E28" i="1"/>
  <c r="E29" i="1" l="1"/>
  <c r="G28" i="1"/>
  <c r="H28" i="1" s="1"/>
  <c r="E30" i="1" l="1"/>
  <c r="G29" i="1"/>
  <c r="H29" i="1" s="1"/>
  <c r="E31" i="1" l="1"/>
  <c r="G30" i="1"/>
  <c r="H30" i="1" s="1"/>
  <c r="G31" i="1" l="1"/>
  <c r="H31" i="1" s="1"/>
  <c r="E32" i="1"/>
  <c r="G32" i="1" l="1"/>
  <c r="H32" i="1" s="1"/>
  <c r="E33" i="1"/>
  <c r="G33" i="1" l="1"/>
  <c r="H33" i="1" s="1"/>
  <c r="E34" i="1"/>
  <c r="E35" i="1" l="1"/>
  <c r="G34" i="1"/>
  <c r="H34" i="1" s="1"/>
  <c r="E36" i="1" l="1"/>
  <c r="G35" i="1"/>
  <c r="H35" i="1" s="1"/>
  <c r="G36" i="1" l="1"/>
  <c r="H36" i="1" s="1"/>
  <c r="E37" i="1"/>
  <c r="G37" i="1" l="1"/>
  <c r="H37" i="1" s="1"/>
  <c r="E38" i="1"/>
  <c r="G38" i="1" l="1"/>
  <c r="H38" i="1" s="1"/>
  <c r="E39" i="1"/>
  <c r="E40" i="1" l="1"/>
  <c r="G39" i="1"/>
  <c r="H39" i="1" s="1"/>
  <c r="G40" i="1" l="1"/>
  <c r="H40" i="1" s="1"/>
  <c r="E41" i="1"/>
  <c r="E42" i="1" l="1"/>
  <c r="G41" i="1"/>
  <c r="H41" i="1" s="1"/>
  <c r="G42" i="1" l="1"/>
  <c r="H42" i="1" s="1"/>
  <c r="E43" i="1"/>
  <c r="G43" i="1" l="1"/>
  <c r="H43" i="1" s="1"/>
  <c r="E44" i="1"/>
  <c r="E45" i="1" l="1"/>
  <c r="G44" i="1"/>
  <c r="H44" i="1" s="1"/>
  <c r="E46" i="1" l="1"/>
  <c r="G45" i="1"/>
  <c r="H45" i="1" s="1"/>
  <c r="E47" i="1" l="1"/>
  <c r="G46" i="1"/>
  <c r="H46" i="1" s="1"/>
  <c r="G47" i="1" l="1"/>
  <c r="H47" i="1" s="1"/>
  <c r="E48" i="1"/>
  <c r="G48" i="1" l="1"/>
  <c r="H48" i="1" s="1"/>
  <c r="E49" i="1"/>
  <c r="E50" i="1" l="1"/>
  <c r="G49" i="1"/>
  <c r="H49" i="1" s="1"/>
  <c r="E51" i="1" l="1"/>
  <c r="G50" i="1"/>
  <c r="H50" i="1" s="1"/>
  <c r="E52" i="1" l="1"/>
  <c r="G51" i="1"/>
  <c r="H51" i="1" s="1"/>
  <c r="G52" i="1" l="1"/>
  <c r="H52" i="1" s="1"/>
  <c r="E53" i="1"/>
  <c r="G53" i="1" l="1"/>
  <c r="H53" i="1" s="1"/>
  <c r="E54" i="1"/>
  <c r="G54" i="1" s="1"/>
  <c r="H54" i="1" s="1"/>
</calcChain>
</file>

<file path=xl/sharedStrings.xml><?xml version="1.0" encoding="utf-8"?>
<sst xmlns="http://schemas.openxmlformats.org/spreadsheetml/2006/main" count="47" uniqueCount="39">
  <si>
    <t>6) Use conditional formatting to clearly identify the highest and lowest average scores</t>
  </si>
  <si>
    <t>5) Apply filter and sorting to show the best student in this classroom by highest score.</t>
  </si>
  <si>
    <t>4) Apply filter and sorting to show the best student in this classroom by average.</t>
  </si>
  <si>
    <t>3) Using the =MAX fucntion, tell me what the students highest score was in column F.</t>
  </si>
  <si>
    <t>2) Calculate the average for all students and fill into Column E. (Use formula)</t>
  </si>
  <si>
    <t>1) Apply filter and sorting to show the best students in each subject.</t>
  </si>
  <si>
    <t>Task</t>
  </si>
  <si>
    <t>Smallest result in each subject</t>
  </si>
  <si>
    <t>Highest result of each subject</t>
  </si>
  <si>
    <t>Scaled Curve</t>
  </si>
  <si>
    <t>Min. Score</t>
  </si>
  <si>
    <t>Result Mode of each subject</t>
  </si>
  <si>
    <t>Std. deviation</t>
  </si>
  <si>
    <t>Median result of each subject</t>
  </si>
  <si>
    <t>Mean average</t>
  </si>
  <si>
    <t>Average class performance by subject</t>
  </si>
  <si>
    <t>No</t>
  </si>
  <si>
    <t>Thomas</t>
  </si>
  <si>
    <t>Yes</t>
  </si>
  <si>
    <t>Mary</t>
  </si>
  <si>
    <t>Edward</t>
  </si>
  <si>
    <t>Linda</t>
  </si>
  <si>
    <t>John</t>
  </si>
  <si>
    <t>Sarah</t>
  </si>
  <si>
    <t>Harry</t>
  </si>
  <si>
    <t>Khan</t>
  </si>
  <si>
    <t>Carol</t>
  </si>
  <si>
    <t>Ted</t>
  </si>
  <si>
    <t>Do both conclusions for support recommendation match?</t>
  </si>
  <si>
    <t>Does the student require additional support? Automatic select. &lt;50% Yes, &gt;50% No</t>
  </si>
  <si>
    <t>Percentile</t>
  </si>
  <si>
    <t xml:space="preserve">Average </t>
  </si>
  <si>
    <t>Highest score</t>
  </si>
  <si>
    <t>Science</t>
  </si>
  <si>
    <t>Mathematics</t>
  </si>
  <si>
    <t>English</t>
  </si>
  <si>
    <t>Student name</t>
  </si>
  <si>
    <t>Normal Distribution</t>
  </si>
  <si>
    <t>Does the student require additional support? Manual 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</si>
</sst>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00"/>
  </numFmts>
  <fonts count="5">
    <font>
      <sz val="11"/>
      <color theme="1"/>
      <name val="Calibri"/>
      <family val="2"/>
      <scheme val="minor"/>
    </font>
    <font>
      <sz val="12"/>
      <color rgb="FF000000"/>
      <name val="Calibri"/>
    </font>
    <font>
      <sz val="9"/>
      <color rgb="FF000000"/>
      <name val="Calibri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3" fillId="0" borderId="1" xfId="0" applyFont="1" applyBorder="1"/>
    <xf numFmtId="9" fontId="3" fillId="0" borderId="1" xfId="0" applyNumberFormat="1" applyFont="1" applyBorder="1"/>
    <xf numFmtId="2" fontId="3" fillId="0" borderId="1" xfId="0" applyNumberFormat="1" applyFont="1" applyBorder="1"/>
    <xf numFmtId="2" fontId="3" fillId="0" borderId="2" xfId="0" applyNumberFormat="1" applyFont="1" applyBorder="1"/>
    <xf numFmtId="0" fontId="3" fillId="0" borderId="3" xfId="0" applyFont="1" applyBorder="1"/>
    <xf numFmtId="0" fontId="3" fillId="0" borderId="2" xfId="0" applyFont="1" applyBorder="1"/>
    <xf numFmtId="0" fontId="4" fillId="0" borderId="2" xfId="0" applyFont="1" applyBorder="1"/>
    <xf numFmtId="0" fontId="3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1" fillId="0" borderId="0" xfId="0" applyFont="1" applyAlignment="1">
      <alignment horizontal="right"/>
    </xf>
    <xf numFmtId="0" fontId="1" fillId="0" borderId="0" xfId="0" applyFont="1" applyAlignment="1"/>
    <xf numFmtId="164" fontId="1" fillId="0" borderId="0" xfId="0" applyNumberFormat="1" applyFont="1" applyAlignment="1">
      <alignment horizontal="right"/>
    </xf>
    <xf numFmtId="0" fontId="0" fillId="0" borderId="0" xfId="0" applyAlignment="1"/>
    <xf numFmtId="165" fontId="1" fillId="0" borderId="0" xfId="0" applyNumberFormat="1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top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performance by subject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'D2 - Test scores dataset'!$B$1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'D2 - Test scores dataset'!$A$2:$A$12</c:f>
              <c:strCache>
                <c:ptCount val="10"/>
                <c:pt idx="0">
                  <c:v>Ted</c:v>
                </c:pt>
                <c:pt idx="1">
                  <c:v>Carol</c:v>
                </c:pt>
                <c:pt idx="2">
                  <c:v>Khan</c:v>
                </c:pt>
                <c:pt idx="3">
                  <c:v>Harry</c:v>
                </c:pt>
                <c:pt idx="4">
                  <c:v>Sarah</c:v>
                </c:pt>
                <c:pt idx="5">
                  <c:v>John</c:v>
                </c:pt>
                <c:pt idx="6">
                  <c:v>Linda</c:v>
                </c:pt>
                <c:pt idx="7">
                  <c:v>Edward</c:v>
                </c:pt>
                <c:pt idx="8">
                  <c:v>Mary</c:v>
                </c:pt>
                <c:pt idx="9">
                  <c:v>Thomas</c:v>
                </c:pt>
              </c:strCache>
            </c:strRef>
          </c:cat>
          <c:val>
            <c:numRef>
              <c:f>'D2 - Test scores dataset'!$B$2:$B$12</c:f>
              <c:numCache>
                <c:formatCode>General</c:formatCode>
                <c:ptCount val="11"/>
                <c:pt idx="0">
                  <c:v>80</c:v>
                </c:pt>
                <c:pt idx="1">
                  <c:v>75</c:v>
                </c:pt>
                <c:pt idx="2">
                  <c:v>85</c:v>
                </c:pt>
                <c:pt idx="3">
                  <c:v>80</c:v>
                </c:pt>
                <c:pt idx="4">
                  <c:v>80</c:v>
                </c:pt>
                <c:pt idx="5">
                  <c:v>65</c:v>
                </c:pt>
                <c:pt idx="6">
                  <c:v>90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1-4945-9214-55E4ECE9CB6A}"/>
            </c:ext>
          </c:extLst>
        </c:ser>
        <c:ser>
          <c:idx val="1"/>
          <c:order val="1"/>
          <c:tx>
            <c:strRef>
              <c:f>'D2 - Test scores dataset'!$C$1</c:f>
              <c:strCache>
                <c:ptCount val="1"/>
                <c:pt idx="0">
                  <c:v>Mathematics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'D2 - Test scores dataset'!$A$2:$A$12</c:f>
              <c:strCache>
                <c:ptCount val="10"/>
                <c:pt idx="0">
                  <c:v>Ted</c:v>
                </c:pt>
                <c:pt idx="1">
                  <c:v>Carol</c:v>
                </c:pt>
                <c:pt idx="2">
                  <c:v>Khan</c:v>
                </c:pt>
                <c:pt idx="3">
                  <c:v>Harry</c:v>
                </c:pt>
                <c:pt idx="4">
                  <c:v>Sarah</c:v>
                </c:pt>
                <c:pt idx="5">
                  <c:v>John</c:v>
                </c:pt>
                <c:pt idx="6">
                  <c:v>Linda</c:v>
                </c:pt>
                <c:pt idx="7">
                  <c:v>Edward</c:v>
                </c:pt>
                <c:pt idx="8">
                  <c:v>Mary</c:v>
                </c:pt>
                <c:pt idx="9">
                  <c:v>Thomas</c:v>
                </c:pt>
              </c:strCache>
            </c:strRef>
          </c:cat>
          <c:val>
            <c:numRef>
              <c:f>'D2 - Test scores dataset'!$C$2:$C$12</c:f>
              <c:numCache>
                <c:formatCode>General</c:formatCode>
                <c:ptCount val="11"/>
                <c:pt idx="0">
                  <c:v>75</c:v>
                </c:pt>
                <c:pt idx="1">
                  <c:v>85</c:v>
                </c:pt>
                <c:pt idx="2">
                  <c:v>75</c:v>
                </c:pt>
                <c:pt idx="3">
                  <c:v>70</c:v>
                </c:pt>
                <c:pt idx="4">
                  <c:v>70</c:v>
                </c:pt>
                <c:pt idx="5">
                  <c:v>80</c:v>
                </c:pt>
                <c:pt idx="6">
                  <c:v>50</c:v>
                </c:pt>
                <c:pt idx="7">
                  <c:v>80</c:v>
                </c:pt>
                <c:pt idx="8">
                  <c:v>70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71-4945-9214-55E4ECE9CB6A}"/>
            </c:ext>
          </c:extLst>
        </c:ser>
        <c:ser>
          <c:idx val="2"/>
          <c:order val="2"/>
          <c:tx>
            <c:strRef>
              <c:f>'D2 - Test scores dataset'!$D$1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'D2 - Test scores dataset'!$A$2:$A$12</c:f>
              <c:strCache>
                <c:ptCount val="10"/>
                <c:pt idx="0">
                  <c:v>Ted</c:v>
                </c:pt>
                <c:pt idx="1">
                  <c:v>Carol</c:v>
                </c:pt>
                <c:pt idx="2">
                  <c:v>Khan</c:v>
                </c:pt>
                <c:pt idx="3">
                  <c:v>Harry</c:v>
                </c:pt>
                <c:pt idx="4">
                  <c:v>Sarah</c:v>
                </c:pt>
                <c:pt idx="5">
                  <c:v>John</c:v>
                </c:pt>
                <c:pt idx="6">
                  <c:v>Linda</c:v>
                </c:pt>
                <c:pt idx="7">
                  <c:v>Edward</c:v>
                </c:pt>
                <c:pt idx="8">
                  <c:v>Mary</c:v>
                </c:pt>
                <c:pt idx="9">
                  <c:v>Thomas</c:v>
                </c:pt>
              </c:strCache>
            </c:strRef>
          </c:cat>
          <c:val>
            <c:numRef>
              <c:f>'D2 - Test scores dataset'!$D$2:$D$12</c:f>
              <c:numCache>
                <c:formatCode>General</c:formatCode>
                <c:ptCount val="11"/>
                <c:pt idx="0">
                  <c:v>90</c:v>
                </c:pt>
                <c:pt idx="1">
                  <c:v>85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70</c:v>
                </c:pt>
                <c:pt idx="6">
                  <c:v>70</c:v>
                </c:pt>
                <c:pt idx="7">
                  <c:v>60</c:v>
                </c:pt>
                <c:pt idx="8">
                  <c:v>65</c:v>
                </c:pt>
                <c:pt idx="9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71-4945-9214-55E4ECE9CB6A}"/>
            </c:ext>
          </c:extLst>
        </c:ser>
        <c:ser>
          <c:idx val="3"/>
          <c:order val="3"/>
          <c:tx>
            <c:strRef>
              <c:f>'D2 - Test scores dataset'!$F$1</c:f>
              <c:strCache>
                <c:ptCount val="1"/>
                <c:pt idx="0">
                  <c:v>Average 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'D2 - Test scores dataset'!$A$2:$A$12</c:f>
              <c:strCache>
                <c:ptCount val="10"/>
                <c:pt idx="0">
                  <c:v>Ted</c:v>
                </c:pt>
                <c:pt idx="1">
                  <c:v>Carol</c:v>
                </c:pt>
                <c:pt idx="2">
                  <c:v>Khan</c:v>
                </c:pt>
                <c:pt idx="3">
                  <c:v>Harry</c:v>
                </c:pt>
                <c:pt idx="4">
                  <c:v>Sarah</c:v>
                </c:pt>
                <c:pt idx="5">
                  <c:v>John</c:v>
                </c:pt>
                <c:pt idx="6">
                  <c:v>Linda</c:v>
                </c:pt>
                <c:pt idx="7">
                  <c:v>Edward</c:v>
                </c:pt>
                <c:pt idx="8">
                  <c:v>Mary</c:v>
                </c:pt>
                <c:pt idx="9">
                  <c:v>Thomas</c:v>
                </c:pt>
              </c:strCache>
            </c:strRef>
          </c:cat>
          <c:val>
            <c:numRef>
              <c:f>'D2 - Test scores dataset'!$F$2:$F$12</c:f>
              <c:numCache>
                <c:formatCode>0.00</c:formatCode>
                <c:ptCount val="11"/>
                <c:pt idx="0">
                  <c:v>81.666666666666671</c:v>
                </c:pt>
                <c:pt idx="1">
                  <c:v>81.666666666666671</c:v>
                </c:pt>
                <c:pt idx="2">
                  <c:v>80</c:v>
                </c:pt>
                <c:pt idx="3">
                  <c:v>76.666666666666671</c:v>
                </c:pt>
                <c:pt idx="4">
                  <c:v>76.666666666666671</c:v>
                </c:pt>
                <c:pt idx="5">
                  <c:v>71.666666666666671</c:v>
                </c:pt>
                <c:pt idx="6">
                  <c:v>70</c:v>
                </c:pt>
                <c:pt idx="7">
                  <c:v>65</c:v>
                </c:pt>
                <c:pt idx="8">
                  <c:v>63.333333333333336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71-4945-9214-55E4ECE9C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5788167"/>
        <c:axId val="1796231688"/>
      </c:barChart>
      <c:catAx>
        <c:axId val="525788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231688"/>
        <c:crosses val="autoZero"/>
        <c:auto val="1"/>
        <c:lblAlgn val="ctr"/>
        <c:lblOffset val="100"/>
        <c:noMultiLvlLbl val="0"/>
      </c:catAx>
      <c:valAx>
        <c:axId val="1796231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88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676275</xdr:colOff>
      <xdr:row>0</xdr:row>
      <xdr:rowOff>0</xdr:rowOff>
    </xdr:from>
    <xdr:to>
      <xdr:col>18</xdr:col>
      <xdr:colOff>228600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74FBB2-83F1-672F-3604-031FA89DA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J11" totalsRowShown="0" headerRowDxfId="13" dataDxfId="11" headerRowBorderDxfId="12" tableBorderDxfId="10">
  <autoFilter ref="A1:J11"/>
  <sortState ref="A2:I11">
    <sortCondition descending="1" ref="G1:G11"/>
  </sortState>
  <tableColumns count="10">
    <tableColumn id="1" name="Student name" dataDxfId="9"/>
    <tableColumn id="2" name="English" dataDxfId="8"/>
    <tableColumn id="3" name="Mathematics" dataDxfId="7"/>
    <tableColumn id="4" name="Science" dataDxfId="6"/>
    <tableColumn id="6" name="Highest score" dataDxfId="5">
      <calculatedColumnFormula>MAX(B2:D2)</calculatedColumnFormula>
    </tableColumn>
    <tableColumn id="8" name="Average " dataDxfId="4">
      <calculatedColumnFormula>AVERAGE(B2:D2)</calculatedColumnFormula>
    </tableColumn>
    <tableColumn id="9" name="Percentile" dataDxfId="3">
      <calculatedColumnFormula>_xlfn.PERCENTRANK.INC($F$2:$F$11, F2)</calculatedColumnFormula>
    </tableColumn>
    <tableColumn id="7" name="Does the student require additional support? Manual select" dataDxfId="2"/>
    <tableColumn id="10" name="Does the student require additional support? Automatic select. &lt;50% Yes, &gt;50% No" dataDxfId="1">
      <calculatedColumnFormula>IF(G2&gt;50%,"No","Yes")</calculatedColumnFormula>
    </tableColumn>
    <tableColumn id="5" name="Do both conclusions for support recommendation match?" dataDxfId="0">
      <calculatedColumnFormula>IF(H2=I2, "Yes", 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abSelected="1" zoomScaleNormal="100" workbookViewId="0">
      <selection activeCell="J14" sqref="J14"/>
    </sheetView>
  </sheetViews>
  <sheetFormatPr defaultRowHeight="15"/>
  <cols>
    <col min="1" max="1" width="18.42578125" customWidth="1"/>
    <col min="2" max="2" width="11.140625" bestFit="1" customWidth="1"/>
    <col min="3" max="3" width="17.28515625" customWidth="1"/>
    <col min="4" max="4" width="17.5703125" customWidth="1"/>
    <col min="5" max="5" width="33.85546875" customWidth="1"/>
    <col min="6" max="6" width="22.5703125" customWidth="1"/>
    <col min="7" max="7" width="40.85546875" customWidth="1"/>
    <col min="8" max="8" width="46.5703125" customWidth="1"/>
    <col min="9" max="9" width="47.85546875" customWidth="1"/>
    <col min="10" max="10" width="39.85546875" customWidth="1"/>
    <col min="13" max="13" width="17" customWidth="1"/>
    <col min="14" max="14" width="16.140625" customWidth="1"/>
    <col min="16" max="16" width="19" customWidth="1"/>
  </cols>
  <sheetData>
    <row r="1" spans="1:10" ht="36.75" customHeight="1">
      <c r="A1" s="17" t="s">
        <v>36</v>
      </c>
      <c r="B1" s="17" t="s">
        <v>35</v>
      </c>
      <c r="C1" s="17" t="s">
        <v>34</v>
      </c>
      <c r="D1" s="17" t="s">
        <v>33</v>
      </c>
      <c r="E1" s="16" t="s">
        <v>32</v>
      </c>
      <c r="F1" s="17" t="s">
        <v>31</v>
      </c>
      <c r="G1" s="16" t="s">
        <v>30</v>
      </c>
      <c r="H1" s="15" t="s">
        <v>38</v>
      </c>
      <c r="I1" s="15" t="s">
        <v>29</v>
      </c>
      <c r="J1" s="15" t="s">
        <v>28</v>
      </c>
    </row>
    <row r="2" spans="1:10">
      <c r="A2" s="14" t="s">
        <v>27</v>
      </c>
      <c r="B2" s="13">
        <v>80</v>
      </c>
      <c r="C2" s="13">
        <v>75</v>
      </c>
      <c r="D2" s="13">
        <v>90</v>
      </c>
      <c r="E2" s="12">
        <f t="shared" ref="E2:E11" si="0">MAX(B2:D2)</f>
        <v>90</v>
      </c>
      <c r="F2" s="11">
        <f t="shared" ref="F2:F11" si="1">AVERAGE(B2:D2)</f>
        <v>81.666666666666671</v>
      </c>
      <c r="G2" s="9">
        <f t="shared" ref="G2:G11" si="2">_xlfn.PERCENTRANK.INC($F$2:$F$11, F2)</f>
        <v>0.88800000000000001</v>
      </c>
      <c r="H2" s="8" t="s">
        <v>16</v>
      </c>
      <c r="I2" s="8" t="str">
        <f t="shared" ref="I2:I11" si="3">IF(G2&gt;50%,"No","Yes")</f>
        <v>No</v>
      </c>
      <c r="J2" s="7" t="str">
        <f t="shared" ref="J2:J11" si="4">IF(H2=I2, "Yes", "No")</f>
        <v>Yes</v>
      </c>
    </row>
    <row r="3" spans="1:10">
      <c r="A3" s="13" t="s">
        <v>26</v>
      </c>
      <c r="B3" s="13">
        <v>75</v>
      </c>
      <c r="C3" s="13">
        <v>85</v>
      </c>
      <c r="D3" s="13">
        <v>85</v>
      </c>
      <c r="E3" s="12">
        <f t="shared" si="0"/>
        <v>85</v>
      </c>
      <c r="F3" s="11">
        <f t="shared" si="1"/>
        <v>81.666666666666671</v>
      </c>
      <c r="G3" s="9">
        <f t="shared" si="2"/>
        <v>0.88800000000000001</v>
      </c>
      <c r="H3" s="8" t="s">
        <v>16</v>
      </c>
      <c r="I3" s="8" t="str">
        <f t="shared" si="3"/>
        <v>No</v>
      </c>
      <c r="J3" s="7" t="str">
        <f t="shared" si="4"/>
        <v>Yes</v>
      </c>
    </row>
    <row r="4" spans="1:10">
      <c r="A4" s="14" t="s">
        <v>25</v>
      </c>
      <c r="B4" s="13">
        <v>85</v>
      </c>
      <c r="C4" s="13">
        <v>75</v>
      </c>
      <c r="D4" s="13">
        <v>80</v>
      </c>
      <c r="E4" s="12">
        <f t="shared" si="0"/>
        <v>85</v>
      </c>
      <c r="F4" s="11">
        <f t="shared" si="1"/>
        <v>80</v>
      </c>
      <c r="G4" s="9">
        <f t="shared" si="2"/>
        <v>0.77700000000000002</v>
      </c>
      <c r="H4" s="8" t="s">
        <v>16</v>
      </c>
      <c r="I4" s="8" t="str">
        <f t="shared" si="3"/>
        <v>No</v>
      </c>
      <c r="J4" s="7" t="str">
        <f t="shared" si="4"/>
        <v>Yes</v>
      </c>
    </row>
    <row r="5" spans="1:10">
      <c r="A5" s="14" t="s">
        <v>24</v>
      </c>
      <c r="B5" s="13">
        <v>80</v>
      </c>
      <c r="C5" s="13">
        <v>70</v>
      </c>
      <c r="D5" s="13">
        <v>80</v>
      </c>
      <c r="E5" s="12">
        <f t="shared" si="0"/>
        <v>80</v>
      </c>
      <c r="F5" s="11">
        <f t="shared" si="1"/>
        <v>76.666666666666671</v>
      </c>
      <c r="G5" s="9">
        <f t="shared" si="2"/>
        <v>0.55500000000000005</v>
      </c>
      <c r="H5" s="8" t="s">
        <v>16</v>
      </c>
      <c r="I5" s="8" t="str">
        <f t="shared" si="3"/>
        <v>No</v>
      </c>
      <c r="J5" s="7" t="str">
        <f t="shared" si="4"/>
        <v>Yes</v>
      </c>
    </row>
    <row r="6" spans="1:10">
      <c r="A6" s="13" t="s">
        <v>23</v>
      </c>
      <c r="B6" s="13">
        <v>80</v>
      </c>
      <c r="C6" s="13">
        <v>70</v>
      </c>
      <c r="D6" s="13">
        <v>80</v>
      </c>
      <c r="E6" s="12">
        <f t="shared" si="0"/>
        <v>80</v>
      </c>
      <c r="F6" s="11">
        <f t="shared" si="1"/>
        <v>76.666666666666671</v>
      </c>
      <c r="G6" s="9">
        <f t="shared" si="2"/>
        <v>0.55500000000000005</v>
      </c>
      <c r="H6" s="8" t="s">
        <v>16</v>
      </c>
      <c r="I6" s="8" t="str">
        <f t="shared" si="3"/>
        <v>No</v>
      </c>
      <c r="J6" s="7" t="str">
        <f t="shared" si="4"/>
        <v>Yes</v>
      </c>
    </row>
    <row r="7" spans="1:10">
      <c r="A7" s="14" t="s">
        <v>22</v>
      </c>
      <c r="B7" s="13">
        <v>65</v>
      </c>
      <c r="C7" s="13">
        <v>80</v>
      </c>
      <c r="D7" s="13">
        <v>70</v>
      </c>
      <c r="E7" s="12">
        <f t="shared" si="0"/>
        <v>80</v>
      </c>
      <c r="F7" s="11">
        <f t="shared" si="1"/>
        <v>71.666666666666671</v>
      </c>
      <c r="G7" s="9">
        <f t="shared" si="2"/>
        <v>0.44400000000000001</v>
      </c>
      <c r="H7" s="8" t="s">
        <v>16</v>
      </c>
      <c r="I7" s="8" t="str">
        <f t="shared" si="3"/>
        <v>Yes</v>
      </c>
      <c r="J7" s="7" t="str">
        <f t="shared" si="4"/>
        <v>No</v>
      </c>
    </row>
    <row r="8" spans="1:10">
      <c r="A8" s="14" t="s">
        <v>21</v>
      </c>
      <c r="B8" s="13">
        <v>90</v>
      </c>
      <c r="C8" s="13">
        <v>50</v>
      </c>
      <c r="D8" s="13">
        <v>70</v>
      </c>
      <c r="E8" s="12">
        <f t="shared" si="0"/>
        <v>90</v>
      </c>
      <c r="F8" s="11">
        <f t="shared" si="1"/>
        <v>70</v>
      </c>
      <c r="G8" s="9">
        <f t="shared" si="2"/>
        <v>0.33300000000000002</v>
      </c>
      <c r="H8" s="8" t="s">
        <v>18</v>
      </c>
      <c r="I8" s="8" t="str">
        <f t="shared" si="3"/>
        <v>Yes</v>
      </c>
      <c r="J8" s="7" t="str">
        <f t="shared" si="4"/>
        <v>Yes</v>
      </c>
    </row>
    <row r="9" spans="1:10">
      <c r="A9" s="13" t="s">
        <v>20</v>
      </c>
      <c r="B9" s="13">
        <v>55</v>
      </c>
      <c r="C9" s="13">
        <v>80</v>
      </c>
      <c r="D9" s="13">
        <v>60</v>
      </c>
      <c r="E9" s="12">
        <f t="shared" si="0"/>
        <v>80</v>
      </c>
      <c r="F9" s="11">
        <f t="shared" si="1"/>
        <v>65</v>
      </c>
      <c r="G9" s="9">
        <f t="shared" si="2"/>
        <v>0.222</v>
      </c>
      <c r="H9" s="8" t="s">
        <v>18</v>
      </c>
      <c r="I9" s="8" t="str">
        <f t="shared" si="3"/>
        <v>Yes</v>
      </c>
      <c r="J9" s="7" t="str">
        <f t="shared" si="4"/>
        <v>Yes</v>
      </c>
    </row>
    <row r="10" spans="1:10">
      <c r="A10" s="14" t="s">
        <v>19</v>
      </c>
      <c r="B10" s="13">
        <v>55</v>
      </c>
      <c r="C10" s="13">
        <v>70</v>
      </c>
      <c r="D10" s="13">
        <v>65</v>
      </c>
      <c r="E10" s="12">
        <f t="shared" si="0"/>
        <v>70</v>
      </c>
      <c r="F10" s="11">
        <f t="shared" si="1"/>
        <v>63.333333333333336</v>
      </c>
      <c r="G10" s="9">
        <f t="shared" si="2"/>
        <v>0.111</v>
      </c>
      <c r="H10" s="8" t="s">
        <v>18</v>
      </c>
      <c r="I10" s="8" t="str">
        <f t="shared" si="3"/>
        <v>Yes</v>
      </c>
      <c r="J10" s="7" t="str">
        <f t="shared" si="4"/>
        <v>Yes</v>
      </c>
    </row>
    <row r="11" spans="1:10">
      <c r="A11" s="8" t="s">
        <v>17</v>
      </c>
      <c r="B11" s="8">
        <v>55</v>
      </c>
      <c r="C11" s="8">
        <v>30</v>
      </c>
      <c r="D11" s="8">
        <v>65</v>
      </c>
      <c r="E11" s="7">
        <f t="shared" si="0"/>
        <v>65</v>
      </c>
      <c r="F11" s="10">
        <f t="shared" si="1"/>
        <v>50</v>
      </c>
      <c r="G11" s="9">
        <f t="shared" si="2"/>
        <v>0</v>
      </c>
      <c r="H11" s="8" t="s">
        <v>16</v>
      </c>
      <c r="I11" s="8" t="str">
        <f t="shared" si="3"/>
        <v>Yes</v>
      </c>
      <c r="J11" s="7" t="str">
        <f t="shared" si="4"/>
        <v>No</v>
      </c>
    </row>
    <row r="12" spans="1:10" ht="15.75">
      <c r="A12" s="1"/>
      <c r="B12" s="1"/>
      <c r="C12" s="1"/>
      <c r="D12" s="1"/>
      <c r="E12" s="1"/>
      <c r="F12" s="1"/>
      <c r="G12" s="1"/>
      <c r="H12" s="1"/>
      <c r="I12" s="1"/>
    </row>
    <row r="13" spans="1:10" ht="36" customHeight="1">
      <c r="A13" s="5" t="s">
        <v>15</v>
      </c>
      <c r="B13" s="19">
        <f>AVERAGE(Table1[English])</f>
        <v>72</v>
      </c>
      <c r="C13" s="19">
        <f>AVERAGE(Table1[Mathematics])</f>
        <v>68.5</v>
      </c>
      <c r="D13" s="19">
        <f>AVERAGE(Table1[Science])</f>
        <v>74.5</v>
      </c>
      <c r="E13" s="18" t="s">
        <v>14</v>
      </c>
      <c r="F13" s="20">
        <f>AVERAGE(Table1[[Average ]])</f>
        <v>71.666666666666671</v>
      </c>
      <c r="G13" s="19"/>
      <c r="H13" s="19"/>
      <c r="I13" s="1"/>
    </row>
    <row r="14" spans="1:10" ht="29.25" customHeight="1">
      <c r="A14" s="5" t="s">
        <v>13</v>
      </c>
      <c r="B14" s="6">
        <f>MEDIAN(Table1[English])</f>
        <v>77.5</v>
      </c>
      <c r="C14" s="6">
        <f>MEDIAN(Table1[Mathematics])</f>
        <v>72.5</v>
      </c>
      <c r="D14" s="6">
        <f>MEDIAN(Table1[Science])</f>
        <v>75</v>
      </c>
      <c r="E14" s="18" t="s">
        <v>12</v>
      </c>
      <c r="F14" s="20">
        <f>STDEVP(Table1[[Average ]])</f>
        <v>9.5160682824133769</v>
      </c>
      <c r="G14" s="19"/>
      <c r="H14" s="19"/>
      <c r="I14" s="1"/>
    </row>
    <row r="15" spans="1:10" ht="24.75" customHeight="1">
      <c r="A15" s="5" t="s">
        <v>11</v>
      </c>
      <c r="B15" s="19">
        <f>MODE(Table1[English])</f>
        <v>80</v>
      </c>
      <c r="C15" s="19">
        <f>MODE(Table1[Mathematics])</f>
        <v>70</v>
      </c>
      <c r="D15" s="19">
        <f>MODE(Table1[Science])</f>
        <v>80</v>
      </c>
      <c r="E15" s="18" t="s">
        <v>10</v>
      </c>
      <c r="F15" s="19"/>
      <c r="G15" s="18" t="s">
        <v>37</v>
      </c>
      <c r="H15" s="18" t="s">
        <v>9</v>
      </c>
      <c r="I15" s="1"/>
    </row>
    <row r="16" spans="1:10" ht="25.5" customHeight="1">
      <c r="A16" s="5" t="s">
        <v>8</v>
      </c>
      <c r="B16" s="19">
        <f>LARGE(Table1[English], 1)</f>
        <v>90</v>
      </c>
      <c r="C16" s="19">
        <f>LARGE(Table1[Mathematics], 1)</f>
        <v>85</v>
      </c>
      <c r="D16" s="19">
        <f>LARGE(Table1[Science], 1)</f>
        <v>90</v>
      </c>
      <c r="E16" s="21">
        <f>MIN(Table1[[#All],[Average ]])</f>
        <v>50</v>
      </c>
      <c r="F16" s="19"/>
      <c r="G16" s="22">
        <f t="shared" ref="G16:G54" si="5">_xlfn.NORM.DIST(E16,$F$13,$F$14,FALSE)</f>
        <v>3.1387054503366602E-3</v>
      </c>
      <c r="H16" s="23">
        <f t="shared" ref="H16:H54" si="6">G16*(MAX($F$2:$F$11))</f>
        <v>0.25632761177749391</v>
      </c>
      <c r="I16" s="1"/>
    </row>
    <row r="17" spans="1:14" ht="28.5" customHeight="1">
      <c r="A17" s="5" t="s">
        <v>7</v>
      </c>
      <c r="B17" s="19">
        <f>SMALL(Table1[English], 1)</f>
        <v>55</v>
      </c>
      <c r="C17" s="19">
        <f>SMALL(Table1[Mathematics], 1)</f>
        <v>30</v>
      </c>
      <c r="D17" s="19">
        <f>SMALL(Table1[Science], 1)</f>
        <v>60</v>
      </c>
      <c r="E17" s="19">
        <f t="shared" ref="E17:E54" si="7">E16+1</f>
        <v>51</v>
      </c>
      <c r="F17" s="19"/>
      <c r="G17" s="22">
        <f t="shared" si="5"/>
        <v>3.9651860189655556E-3</v>
      </c>
      <c r="H17" s="23">
        <f t="shared" si="6"/>
        <v>0.32382352488218707</v>
      </c>
      <c r="I17" s="1"/>
    </row>
    <row r="18" spans="1:14" ht="15.75">
      <c r="A18" s="1"/>
      <c r="B18" s="1"/>
      <c r="C18" s="1"/>
      <c r="D18" s="1"/>
      <c r="E18" s="1">
        <f t="shared" si="7"/>
        <v>52</v>
      </c>
      <c r="F18" s="1"/>
      <c r="G18" s="3">
        <f t="shared" si="5"/>
        <v>4.954281517423849E-3</v>
      </c>
      <c r="H18" s="2">
        <f t="shared" si="6"/>
        <v>0.40459965725628105</v>
      </c>
      <c r="I18" s="1"/>
    </row>
    <row r="19" spans="1:14" ht="15.75">
      <c r="E19" s="1">
        <f t="shared" si="7"/>
        <v>53</v>
      </c>
      <c r="F19" s="1"/>
      <c r="G19" s="3">
        <f t="shared" si="5"/>
        <v>6.1221209531435294E-3</v>
      </c>
      <c r="H19" s="2">
        <f t="shared" si="6"/>
        <v>0.49997321117338828</v>
      </c>
      <c r="I19" s="1"/>
    </row>
    <row r="20" spans="1:14" ht="15.75">
      <c r="E20" s="1">
        <f t="shared" si="7"/>
        <v>54</v>
      </c>
      <c r="F20" s="1"/>
      <c r="G20" s="3">
        <f t="shared" si="5"/>
        <v>7.4821642950283441E-3</v>
      </c>
      <c r="H20" s="2">
        <f t="shared" si="6"/>
        <v>0.61104341742731483</v>
      </c>
      <c r="I20" s="1"/>
    </row>
    <row r="21" spans="1:14" ht="15.75">
      <c r="E21" s="1">
        <f t="shared" si="7"/>
        <v>55</v>
      </c>
      <c r="F21" s="1"/>
      <c r="G21" s="3">
        <f t="shared" si="5"/>
        <v>9.043919437501647E-3</v>
      </c>
      <c r="H21" s="2">
        <f t="shared" si="6"/>
        <v>0.73858675406263452</v>
      </c>
      <c r="I21" s="1"/>
    </row>
    <row r="22" spans="1:14" ht="15.75">
      <c r="E22" s="1">
        <f t="shared" si="7"/>
        <v>56</v>
      </c>
      <c r="F22" s="1"/>
      <c r="G22" s="3">
        <f t="shared" si="5"/>
        <v>1.0811606725891518E-2</v>
      </c>
      <c r="H22" s="2">
        <f t="shared" si="6"/>
        <v>0.8829478826144741</v>
      </c>
      <c r="I22" s="1"/>
    </row>
    <row r="23" spans="1:14" ht="15.75">
      <c r="E23" s="1">
        <f t="shared" si="7"/>
        <v>57</v>
      </c>
      <c r="F23" s="1"/>
      <c r="G23" s="3">
        <f t="shared" si="5"/>
        <v>1.2782856234108781E-2</v>
      </c>
      <c r="H23" s="2">
        <f t="shared" si="6"/>
        <v>1.0439332591188839</v>
      </c>
      <c r="I23" s="1"/>
    </row>
    <row r="24" spans="1:14" ht="15.75">
      <c r="E24" s="1">
        <f t="shared" si="7"/>
        <v>58</v>
      </c>
      <c r="F24" s="1"/>
      <c r="G24" s="3">
        <f t="shared" si="5"/>
        <v>1.4947538452402442E-2</v>
      </c>
      <c r="H24" s="2">
        <f t="shared" si="6"/>
        <v>1.2207156402795327</v>
      </c>
      <c r="I24" s="1"/>
    </row>
    <row r="25" spans="1:14" ht="15.75">
      <c r="E25" s="1">
        <f t="shared" si="7"/>
        <v>59</v>
      </c>
      <c r="F25" s="1"/>
      <c r="G25" s="3">
        <f t="shared" si="5"/>
        <v>1.7286838079174454E-2</v>
      </c>
      <c r="H25" s="2">
        <f t="shared" si="6"/>
        <v>1.4117584431325805</v>
      </c>
      <c r="I25" s="1"/>
    </row>
    <row r="26" spans="1:14" ht="15.75">
      <c r="E26" s="1">
        <f t="shared" si="7"/>
        <v>60</v>
      </c>
      <c r="G26" s="3">
        <f t="shared" si="5"/>
        <v>1.9772680960377608E-2</v>
      </c>
      <c r="H26" s="2">
        <f t="shared" si="6"/>
        <v>1.6147689450975047</v>
      </c>
    </row>
    <row r="27" spans="1:14" ht="15.75">
      <c r="E27" s="1">
        <f t="shared" si="7"/>
        <v>61</v>
      </c>
      <c r="G27" s="3">
        <f t="shared" si="5"/>
        <v>2.2367614219702688E-2</v>
      </c>
      <c r="H27" s="2">
        <f t="shared" si="6"/>
        <v>1.8266884946090529</v>
      </c>
    </row>
    <row r="28" spans="1:14" ht="15.75">
      <c r="E28" s="1">
        <f t="shared" si="7"/>
        <v>62</v>
      </c>
      <c r="G28" s="3">
        <f t="shared" si="5"/>
        <v>2.5025218528725069E-2</v>
      </c>
      <c r="H28" s="2">
        <f t="shared" si="6"/>
        <v>2.0437261798458808</v>
      </c>
    </row>
    <row r="29" spans="1:14" ht="15.75">
      <c r="E29" s="1">
        <f t="shared" si="7"/>
        <v>63</v>
      </c>
      <c r="G29" s="3">
        <f t="shared" si="5"/>
        <v>2.7691099709749086E-2</v>
      </c>
      <c r="H29" s="2">
        <f t="shared" si="6"/>
        <v>2.261439809629509</v>
      </c>
    </row>
    <row r="30" spans="1:14" ht="15.75">
      <c r="E30" s="1">
        <f t="shared" si="7"/>
        <v>64</v>
      </c>
      <c r="G30" s="3">
        <f t="shared" si="5"/>
        <v>3.0304466185802053E-2</v>
      </c>
      <c r="H30" s="2">
        <f t="shared" si="6"/>
        <v>2.4748647385071676</v>
      </c>
    </row>
    <row r="31" spans="1:14" ht="15.75">
      <c r="E31" s="1">
        <f t="shared" si="7"/>
        <v>65</v>
      </c>
      <c r="G31" s="3">
        <f t="shared" si="5"/>
        <v>3.2800252214238074E-2</v>
      </c>
      <c r="H31" s="2">
        <f t="shared" si="6"/>
        <v>2.6786872641627761</v>
      </c>
    </row>
    <row r="32" spans="1:14" ht="15.75">
      <c r="E32" s="1">
        <f t="shared" si="7"/>
        <v>66</v>
      </c>
      <c r="G32" s="3">
        <f t="shared" si="5"/>
        <v>3.5111698457412278E-2</v>
      </c>
      <c r="H32" s="2">
        <f t="shared" si="6"/>
        <v>2.8674553740220028</v>
      </c>
      <c r="J32" s="1" t="s">
        <v>6</v>
      </c>
      <c r="K32" s="1"/>
      <c r="L32" s="1"/>
      <c r="M32" s="1"/>
      <c r="N32" s="1"/>
    </row>
    <row r="33" spans="5:15" ht="15.75">
      <c r="E33" s="1">
        <f t="shared" si="7"/>
        <v>67</v>
      </c>
      <c r="G33" s="3">
        <f t="shared" si="5"/>
        <v>3.7173256039200533E-2</v>
      </c>
      <c r="H33" s="2">
        <f t="shared" si="6"/>
        <v>3.0358159098680439</v>
      </c>
      <c r="J33" s="1" t="s">
        <v>5</v>
      </c>
      <c r="K33" s="1"/>
      <c r="L33" s="1"/>
      <c r="M33" s="1"/>
      <c r="N33" s="1"/>
      <c r="O33" s="4" t="b">
        <v>1</v>
      </c>
    </row>
    <row r="34" spans="5:15" ht="15.75">
      <c r="E34" s="1">
        <f t="shared" si="7"/>
        <v>68</v>
      </c>
      <c r="G34" s="3">
        <f t="shared" si="5"/>
        <v>3.8923642758376044E-2</v>
      </c>
      <c r="H34" s="2">
        <f t="shared" si="6"/>
        <v>3.1787641586007105</v>
      </c>
      <c r="J34" s="1" t="s">
        <v>4</v>
      </c>
      <c r="K34" s="1"/>
      <c r="L34" s="1"/>
      <c r="M34" s="1"/>
      <c r="N34" s="1"/>
      <c r="O34" s="4" t="b">
        <v>1</v>
      </c>
    </row>
    <row r="35" spans="5:15" ht="15.75">
      <c r="E35" s="1">
        <f t="shared" si="7"/>
        <v>69</v>
      </c>
      <c r="G35" s="3">
        <f t="shared" si="5"/>
        <v>4.0308855091937962E-2</v>
      </c>
      <c r="H35" s="2">
        <f t="shared" si="6"/>
        <v>3.2918898325082671</v>
      </c>
      <c r="J35" s="1" t="s">
        <v>3</v>
      </c>
      <c r="K35" s="1"/>
      <c r="L35" s="1"/>
      <c r="M35" s="1"/>
      <c r="N35" s="1"/>
      <c r="O35" s="4" t="b">
        <v>1</v>
      </c>
    </row>
    <row r="36" spans="5:15" ht="15.75">
      <c r="E36" s="1">
        <f t="shared" si="7"/>
        <v>70</v>
      </c>
      <c r="G36" s="3">
        <f t="shared" si="5"/>
        <v>4.1284930502659641E-2</v>
      </c>
      <c r="H36" s="2">
        <f t="shared" si="6"/>
        <v>3.371602657717204</v>
      </c>
      <c r="J36" s="1" t="s">
        <v>2</v>
      </c>
      <c r="K36" s="1"/>
      <c r="L36" s="1"/>
      <c r="M36" s="1"/>
      <c r="N36" s="1"/>
      <c r="O36" s="4" t="b">
        <v>1</v>
      </c>
    </row>
    <row r="37" spans="5:15" ht="15.75">
      <c r="E37" s="1">
        <f t="shared" si="7"/>
        <v>71</v>
      </c>
      <c r="G37" s="3">
        <f t="shared" si="5"/>
        <v>4.182026330350519E-2</v>
      </c>
      <c r="H37" s="2">
        <f t="shared" si="6"/>
        <v>3.4153215031195905</v>
      </c>
      <c r="J37" s="1" t="s">
        <v>1</v>
      </c>
      <c r="K37" s="1"/>
      <c r="L37" s="1"/>
      <c r="M37" s="1"/>
      <c r="N37" s="1"/>
      <c r="O37" s="4" t="b">
        <v>1</v>
      </c>
    </row>
    <row r="38" spans="5:15" ht="15.75">
      <c r="E38" s="1">
        <f t="shared" si="7"/>
        <v>72</v>
      </c>
      <c r="G38" s="3">
        <f t="shared" si="5"/>
        <v>4.1897303987854198E-2</v>
      </c>
      <c r="H38" s="2">
        <f t="shared" si="6"/>
        <v>3.4216131590080932</v>
      </c>
      <c r="J38" s="1" t="s">
        <v>0</v>
      </c>
      <c r="K38" s="1"/>
      <c r="L38" s="1"/>
      <c r="M38" s="1"/>
      <c r="N38" s="1"/>
      <c r="O38" s="4" t="b">
        <v>1</v>
      </c>
    </row>
    <row r="39" spans="5:15" ht="15.75">
      <c r="E39" s="1">
        <f t="shared" si="7"/>
        <v>73</v>
      </c>
      <c r="G39" s="3">
        <f t="shared" si="5"/>
        <v>4.1513514586285542E-2</v>
      </c>
      <c r="H39" s="2">
        <f t="shared" si="6"/>
        <v>3.3902703578799862</v>
      </c>
    </row>
    <row r="40" spans="5:15" ht="15.75">
      <c r="E40" s="1">
        <f t="shared" si="7"/>
        <v>74</v>
      </c>
      <c r="G40" s="3">
        <f t="shared" si="5"/>
        <v>4.0681507504720271E-2</v>
      </c>
      <c r="H40" s="2">
        <f t="shared" si="6"/>
        <v>3.3223231128854889</v>
      </c>
    </row>
    <row r="41" spans="5:15" ht="15.75">
      <c r="E41" s="1">
        <f t="shared" si="7"/>
        <v>75</v>
      </c>
      <c r="G41" s="3">
        <f t="shared" si="5"/>
        <v>3.9428357249674785E-2</v>
      </c>
      <c r="H41" s="2">
        <f t="shared" si="6"/>
        <v>3.2199825087234411</v>
      </c>
    </row>
    <row r="42" spans="5:15" ht="15.75">
      <c r="E42" s="1">
        <f t="shared" si="7"/>
        <v>76</v>
      </c>
      <c r="G42" s="3">
        <f t="shared" si="5"/>
        <v>3.7794137432923293E-2</v>
      </c>
      <c r="H42" s="2">
        <f t="shared" si="6"/>
        <v>3.0865212236887358</v>
      </c>
    </row>
    <row r="43" spans="5:15" ht="15.75">
      <c r="E43" s="1">
        <f t="shared" si="7"/>
        <v>77</v>
      </c>
      <c r="G43" s="3">
        <f t="shared" si="5"/>
        <v>3.582979332542971E-2</v>
      </c>
      <c r="H43" s="2">
        <f t="shared" si="6"/>
        <v>2.9260997882434263</v>
      </c>
    </row>
    <row r="44" spans="5:15" ht="15.75">
      <c r="E44" s="1">
        <f t="shared" si="7"/>
        <v>78</v>
      </c>
      <c r="G44" s="3">
        <f t="shared" si="5"/>
        <v>3.3594507461100473E-2</v>
      </c>
      <c r="H44" s="2">
        <f t="shared" si="6"/>
        <v>2.7435514426565386</v>
      </c>
    </row>
    <row r="45" spans="5:15" ht="15.75">
      <c r="E45" s="1">
        <f t="shared" si="7"/>
        <v>79</v>
      </c>
      <c r="G45" s="3">
        <f t="shared" si="5"/>
        <v>3.1152748088682878E-2</v>
      </c>
      <c r="H45" s="2">
        <f t="shared" si="6"/>
        <v>2.544141093909102</v>
      </c>
    </row>
    <row r="46" spans="5:15" ht="15.75">
      <c r="E46" s="1">
        <f t="shared" si="7"/>
        <v>80</v>
      </c>
      <c r="G46" s="3">
        <f t="shared" si="5"/>
        <v>2.8571205072598051E-2</v>
      </c>
      <c r="H46" s="2">
        <f t="shared" si="6"/>
        <v>2.3333150809288412</v>
      </c>
    </row>
    <row r="47" spans="5:15" ht="15.75">
      <c r="E47" s="1">
        <f t="shared" si="7"/>
        <v>81</v>
      </c>
      <c r="G47" s="3">
        <f t="shared" si="5"/>
        <v>2.5915814549535929E-2</v>
      </c>
      <c r="H47" s="2">
        <f t="shared" si="6"/>
        <v>2.1164581882121012</v>
      </c>
    </row>
    <row r="48" spans="5:15" ht="15.75">
      <c r="E48" s="1">
        <f t="shared" si="7"/>
        <v>82</v>
      </c>
      <c r="G48" s="3">
        <f t="shared" si="5"/>
        <v>2.324905359649793E-2</v>
      </c>
      <c r="H48" s="2">
        <f t="shared" si="6"/>
        <v>1.8986727103806644</v>
      </c>
    </row>
    <row r="49" spans="5:8" ht="15.75">
      <c r="E49" s="1">
        <f t="shared" si="7"/>
        <v>83</v>
      </c>
      <c r="G49" s="3">
        <f t="shared" si="5"/>
        <v>2.0627652372626499E-2</v>
      </c>
      <c r="H49" s="2">
        <f t="shared" si="6"/>
        <v>1.6845916104311642</v>
      </c>
    </row>
    <row r="50" spans="5:8" ht="15.75">
      <c r="E50" s="1">
        <f t="shared" si="7"/>
        <v>84</v>
      </c>
      <c r="G50" s="3">
        <f t="shared" si="5"/>
        <v>1.8100827893744814E-2</v>
      </c>
      <c r="H50" s="2">
        <f t="shared" si="6"/>
        <v>1.47823427798916</v>
      </c>
    </row>
    <row r="51" spans="5:8" ht="15.75">
      <c r="E51" s="1">
        <f t="shared" si="7"/>
        <v>85</v>
      </c>
      <c r="G51" s="3">
        <f t="shared" si="5"/>
        <v>1.5709095656834617E-2</v>
      </c>
      <c r="H51" s="2">
        <f t="shared" si="6"/>
        <v>1.2829094786414939</v>
      </c>
    </row>
    <row r="52" spans="5:8" ht="15.75">
      <c r="E52" s="1">
        <f t="shared" si="7"/>
        <v>86</v>
      </c>
      <c r="G52" s="3">
        <f t="shared" si="5"/>
        <v>1.3483667653598286E-2</v>
      </c>
      <c r="H52" s="2">
        <f t="shared" si="6"/>
        <v>1.1011661917105267</v>
      </c>
    </row>
    <row r="53" spans="5:8" ht="15.75">
      <c r="E53" s="1">
        <f t="shared" si="7"/>
        <v>87</v>
      </c>
      <c r="G53" s="3">
        <f t="shared" si="5"/>
        <v>1.1446402272569775E-2</v>
      </c>
      <c r="H53" s="2">
        <f t="shared" si="6"/>
        <v>0.93478951892653173</v>
      </c>
    </row>
    <row r="54" spans="5:8" ht="15.75">
      <c r="E54" s="1">
        <f t="shared" si="7"/>
        <v>88</v>
      </c>
      <c r="G54" s="3">
        <f t="shared" si="5"/>
        <v>9.6102365998978079E-3</v>
      </c>
      <c r="H54" s="2">
        <f t="shared" si="6"/>
        <v>0.78483598899165441</v>
      </c>
    </row>
    <row r="55" spans="5:8" ht="15.75">
      <c r="E55" s="1"/>
    </row>
    <row r="56" spans="5:8" ht="15.75">
      <c r="E56" s="1"/>
    </row>
    <row r="57" spans="5:8" ht="15.75">
      <c r="E57" s="1"/>
    </row>
    <row r="58" spans="5:8" ht="15.75">
      <c r="E58" s="1"/>
    </row>
    <row r="59" spans="5:8" ht="15.75">
      <c r="E59" s="1"/>
    </row>
    <row r="60" spans="5:8" ht="15.75">
      <c r="E60" s="1"/>
    </row>
    <row r="61" spans="5:8" ht="15.75">
      <c r="E61" s="1"/>
    </row>
    <row r="62" spans="5:8" ht="15.75">
      <c r="E62" s="1"/>
    </row>
    <row r="63" spans="5:8" ht="15.75">
      <c r="E63" s="1"/>
    </row>
    <row r="64" spans="5:8" ht="15.75">
      <c r="E64" s="1"/>
    </row>
    <row r="65" spans="5:5" ht="15.75">
      <c r="E65" s="1"/>
    </row>
    <row r="66" spans="5:5" ht="15.75">
      <c r="E66" s="1"/>
    </row>
    <row r="67" spans="5:5" ht="15.75">
      <c r="E67" s="1"/>
    </row>
    <row r="68" spans="5:5" ht="15.75">
      <c r="E68" s="1"/>
    </row>
    <row r="69" spans="5:5" ht="15.75">
      <c r="E69" s="1"/>
    </row>
    <row r="70" spans="5:5" ht="15.75">
      <c r="E70" s="1"/>
    </row>
    <row r="71" spans="5:5" ht="15.75">
      <c r="E71" s="1"/>
    </row>
    <row r="72" spans="5:5" ht="15.75">
      <c r="E72" s="1"/>
    </row>
    <row r="73" spans="5:5" ht="15.75">
      <c r="E73" s="1"/>
    </row>
  </sheetData>
  <conditionalFormatting sqref="F2:G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1">
    <cfRule type="containsText" dxfId="14" priority="1" operator="containsText" text="No">
      <formula>NOT(ISERROR(SEARCH("No",J2)))</formula>
    </cfRule>
  </conditionalFormatting>
  <dataValidations count="2">
    <dataValidation type="list" allowBlank="1" showInputMessage="1" showErrorMessage="1" sqref="H2:H11">
      <formula1>"Yes, No"</formula1>
    </dataValidation>
    <dataValidation allowBlank="1" showInputMessage="1" showErrorMessage="1" sqref="H1"/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D2 - Test scores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Reizorar</dc:creator>
  <cp:lastModifiedBy>Reizorar</cp:lastModifiedBy>
  <dcterms:created xsi:type="dcterms:W3CDTF">2025-12-09T15:04:01Z</dcterms:created>
  <dcterms:modified xsi:type="dcterms:W3CDTF">2025-12-09T15:48:36Z</dcterms:modified>
</cp:coreProperties>
</file>